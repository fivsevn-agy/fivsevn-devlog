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63bffb662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资料" sheetId="1" r:id="R9244ab99931049f5"/>
    <x:sheet xmlns:r="http://schemas.openxmlformats.org/officeDocument/2006/relationships" name="产品来源" sheetId="2" r:id="R7b4cbec55a7e4707"/>
    <x:sheet xmlns:r="http://schemas.openxmlformats.org/officeDocument/2006/relationships" name="标签定义" sheetId="3" r:id="Re6c68bffda884012"/>
    <x:sheet xmlns:r="http://schemas.openxmlformats.org/officeDocument/2006/relationships" name="综合资源" sheetId="4" r:id="R9a245dfc639f443b"/>
    <x:sheet xmlns:r="http://schemas.openxmlformats.org/officeDocument/2006/relationships" name="资料统计" sheetId="5" r:id="Rb32d85e9659f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sz val="10"/>
      <x:color rgb="FF26352E"/>
      <x:name val="PingFang SC"/>
    </x:font>
    <x:font>
      <x:b/>
      <x:sz val="17"/>
      <x:color rgb="FFFFFFFF"/>
      <x:name val="PingFang SC"/>
    </x:font>
    <x:font>
      <x:sz val="10"/>
      <x:color rgb="FF576D5F"/>
      <x:name val="PingFang SC"/>
    </x:font>
    <x:font>
      <x:b/>
      <x:sz val="10"/>
      <x:color rgb="FFFFFFFF"/>
      <x:name val="PingFang SC"/>
    </x:font>
    <x:font>
      <x:sz val="10"/>
      <x:color rgb="FFFFFFFF"/>
      <x:name val="PingFang SC"/>
    </x:font>
  </x:fonts>
  <x:fills count="13">
    <x:fill>
      <x:patternFill patternType="none"/>
    </x:fill>
    <x:fill>
      <x:patternFill patternType="gray125"/>
    </x:fill>
    <x:fill>
      <x:patternFill patternType="solid">
        <x:fgColor rgb="FF20382C"/>
      </x:patternFill>
    </x:fill>
    <x:fill>
      <x:patternFill patternType="solid">
        <x:fgColor rgb="FFEEF2EA"/>
      </x:patternFill>
    </x:fill>
    <x:fill>
      <x:patternFill patternType="solid">
        <x:fgColor rgb="FF47654F"/>
      </x:patternFill>
    </x:fill>
    <x:fill>
      <x:patternFill patternType="solid">
        <x:fgColor rgb="FFC5D3DB"/>
      </x:patternFill>
    </x:fill>
    <x:fill>
      <x:patternFill patternType="solid">
        <x:fgColor rgb="FFDDD2B8"/>
      </x:patternFill>
    </x:fill>
    <x:fill>
      <x:patternFill patternType="solid">
        <x:fgColor rgb="FF85535A"/>
      </x:patternFill>
    </x:fill>
    <x:fill>
      <x:patternFill patternType="solid">
        <x:fgColor rgb="FFDDC5C1"/>
      </x:patternFill>
    </x:fill>
    <x:fill>
      <x:patternFill patternType="solid">
        <x:fgColor rgb="FFFAE9E4"/>
      </x:patternFill>
    </x:fill>
    <x:fill>
      <x:patternFill patternType="solid">
        <x:fgColor rgb="FFD5CADF"/>
      </x:patternFill>
    </x:fill>
    <x:fill>
      <x:patternFill patternType="solid">
        <x:fgColor rgb="FFC9D7CE"/>
      </x:patternFill>
    </x:fill>
    <x:fill>
      <x:patternFill patternType="solid">
        <x:fgColor rgb="FFEAE7DD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200" fontId="1" fillId="8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da6ee313c4b8b" /><Relationship Type="http://schemas.openxmlformats.org/officeDocument/2006/relationships/theme" Target="/xl/theme/theme1.xml" Id="Rf3ddb9007b8949d2" /><Relationship Type="http://schemas.openxmlformats.org/officeDocument/2006/relationships/sharedStrings" Target="/xl/sharedStrings.xml" Id="R5c114bf9a435444d" /><Relationship Type="http://schemas.openxmlformats.org/officeDocument/2006/relationships/worksheet" Target="/xl/worksheets/sheet1.xml" Id="R9244ab99931049f5" /><Relationship Type="http://schemas.openxmlformats.org/officeDocument/2006/relationships/worksheet" Target="/xl/worksheets/sheet2.xml" Id="R7b4cbec55a7e4707" /><Relationship Type="http://schemas.openxmlformats.org/officeDocument/2006/relationships/worksheet" Target="/xl/worksheets/sheet3.xml" Id="Re6c68bffda884012" /><Relationship Type="http://schemas.openxmlformats.org/officeDocument/2006/relationships/worksheet" Target="/xl/worksheets/sheet4.xml" Id="R9a245dfc639f443b" /><Relationship Type="http://schemas.openxmlformats.org/officeDocument/2006/relationships/worksheet" Target="/xl/worksheets/sheet5.xml" Id="Rb32d85e9659f40cb" /></Relationships>
</file>

<file path=xl/tables/table1.xml><?xml version="1.0" encoding="utf-8"?>
<x:table xmlns:x="http://schemas.openxmlformats.org/spreadsheetml/2006/main" id="1" name="Products" displayName="Products" ref="A4:T271" headerRowCount="1" totalsRowCount="0" totalsRowShown="0">
  <x:autoFilter ref="A4:T271"/>
  <x:tableColumns count="20">
    <x:tableColumn id="1" name="产品"/>
    <x:tableColumn id="2" name="品牌／厂商"/>
    <x:tableColumn id="3" name="连接／可动"/>
    <x:tableColumn id="4" name="交付形态"/>
    <x:tableColumn id="5" name="标称比例"/>
    <x:tableColumn id="6" name="主要高度 mm"/>
    <x:tableColumn id="7" name="高度口径"/>
    <x:tableColumn id="8" name="換装／定制"/>
    <x:tableColumn id="9" name="材料"/>
    <x:tableColumn id="10" name="对象类型"/>
    <x:tableColumn id="11" name="原始型号"/>
    <x:tableColumn id="12" name="品牌所在地"/>
    <x:tableColumn id="13" name="商品产地标示"/>
    <x:tableColumn id="14" name="记录版本"/>
    <x:tableColumn id="15" name="全部尺寸与口径"/>
    <x:tableColumn id="16" name="展开说明／限制"/>
    <x:tableColumn id="17" name="展会对应证据"/>
    <x:tableColumn id="18" name="核对日期"/>
    <x:tableColumn id="19" name="内部 ID"/>
    <x:tableColumn id="20" name="主来源 UR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ources" displayName="Sources" ref="A4:H294" headerRowCount="1" totalsRowCount="0" totalsRowShown="0">
  <x:autoFilter ref="A4:H294"/>
  <x:tableColumns count="8">
    <x:tableColumn id="1" name="产品"/>
    <x:tableColumn id="2" name="顺序"/>
    <x:tableColumn id="3" name="来源性质"/>
    <x:tableColumn id="4" name="来源标题"/>
    <x:tableColumn id="5" name="支持信息与范围"/>
    <x:tableColumn id="6" name="URL"/>
    <x:tableColumn id="7" name="核对日期"/>
    <x:tableColumn id="8" name="内部 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gs" displayName="Tags" ref="A4:D10" headerRowCount="1" totalsRowCount="0" totalsRowShown="0">
  <x:autoFilter ref="A4:D10"/>
  <x:tableColumns count="4">
    <x:tableColumn id="1" name="标签类别"/>
    <x:tableColumn id="2" name="固定色系"/>
    <x:tableColumn id="3" name="记录口径"/>
    <x:tableColumn id="4" name="当前关键词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Resources" displayName="Resources" ref="A4:E16" headerRowCount="1" totalsRowCount="0" totalsRowShown="0">
  <x:autoFilter ref="A4:E16"/>
  <x:tableColumns count="5">
    <x:tableColumn id="1" name="资源类别"/>
    <x:tableColumn id="2" name="资源"/>
    <x:tableColumn id="3" name="用途与范围"/>
    <x:tableColumn id="4" name="URL"/>
    <x:tableColumn id="5" name="核对日期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Coverage" displayName="Coverage" ref="A4:D33" headerRowCount="1" totalsRowCount="0" totalsRowShown="0">
  <x:autoFilter ref="A4:D33"/>
  <x:tableColumns count="4">
    <x:tableColumn id="1" name="统计维度"/>
    <x:tableColumn id="2" name="项目"/>
    <x:tableColumn id="3" name="数量"/>
    <x:tableColumn id="4" name="口径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e918426ff747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d4caca9018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4b3ad234144e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9d42c7a98a4c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6f7e4d53ca74733" /></Relationships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5" hidden="0" customWidth="1"/>
    <x:col min="4" max="4" width="18" hidden="0" customWidth="1"/>
    <x:col min="5" max="5" width="17" hidden="0" customWidth="1"/>
    <x:col min="6" max="6" width="14" hidden="0" customWidth="1"/>
    <x:col min="7" max="7" width="34" hidden="0" customWidth="1"/>
    <x:col min="8" max="8" width="32" hidden="0" customWidth="1"/>
    <x:col min="9" max="9" width="26" hidden="0" customWidth="1"/>
    <x:col min="10" max="10" width="17" hidden="0" customWidth="1"/>
    <x:col min="11" max="11" width="44" hidden="0" customWidth="1"/>
    <x:col min="12" max="12" width="20" hidden="0" customWidth="1"/>
    <x:col min="13" max="13" width="35" hidden="0" customWidth="1"/>
    <x:col min="14" max="14" width="48" hidden="0" customWidth="1"/>
    <x:col min="15" max="15" width="45" hidden="0" customWidth="1"/>
    <x:col min="16" max="16" width="85" hidden="0" customWidth="1"/>
    <x:col min="17" max="17" width="50" hidden="0" customWidth="1"/>
    <x:col min="18" max="18" width="16" hidden="0" customWidth="1"/>
    <x:col min="19" max="19" width="36" hidden="0" customWidth="1"/>
    <x:col min="20" max="20" width="70" hidden="0" customWidth="1"/>
  </x:cols>
  <x:sheetData>
    <x:row r="1" ht="38" customHeight="1">
      <x:c r="A1" s="3" t="str">
        <x:v>人形玩具比照 · 产品资料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6" t="str">
        <x:v>267 条具体商品记录 · 数值空白表示未知，服装项不适用人形高度 · 本表与网页资料同步维护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30" customHeight="1">
      <x:c r="A4" s="9" t="str">
        <x:v>产品</x:v>
      </x:c>
      <x:c r="B4" s="9" t="str">
        <x:v>品牌／厂商</x:v>
      </x:c>
      <x:c r="C4" s="9" t="str">
        <x:v>连接／可动</x:v>
      </x:c>
      <x:c r="D4" s="9" t="str">
        <x:v>交付形态</x:v>
      </x:c>
      <x:c r="E4" s="9" t="str">
        <x:v>标称比例</x:v>
      </x:c>
      <x:c r="F4" s="9" t="str">
        <x:v>主要高度 mm</x:v>
      </x:c>
      <x:c r="G4" s="9" t="str">
        <x:v>高度口径</x:v>
      </x:c>
      <x:c r="H4" s="9" t="str">
        <x:v>換装／定制</x:v>
      </x:c>
      <x:c r="I4" s="9" t="str">
        <x:v>材料</x:v>
      </x:c>
      <x:c r="J4" s="9" t="str">
        <x:v>对象类型</x:v>
      </x:c>
      <x:c r="K4" s="9" t="str">
        <x:v>原始型号</x:v>
      </x:c>
      <x:c r="L4" s="9" t="str">
        <x:v>品牌所在地</x:v>
      </x:c>
      <x:c r="M4" s="9" t="str">
        <x:v>商品产地标示</x:v>
      </x:c>
      <x:c r="N4" s="9" t="str">
        <x:v>记录版本</x:v>
      </x:c>
      <x:c r="O4" s="9" t="str">
        <x:v>全部尺寸与口径</x:v>
      </x:c>
      <x:c r="P4" s="9" t="str">
        <x:v>展开说明／限制</x:v>
      </x:c>
      <x:c r="Q4" s="9" t="str">
        <x:v>展会对应证据</x:v>
      </x:c>
      <x:c r="R4" s="9" t="str">
        <x:v>核对日期</x:v>
      </x:c>
      <x:c r="S4" s="9" t="str">
        <x:v>内部 ID</x:v>
      </x:c>
      <x:c r="T4" s="9" t="str">
        <x:v>主来源 URL</x:v>
      </x:c>
    </x:row>
    <x:row r="5" ht="110" customHeight="1">
      <x:c r="A5" s="11" t="str">
        <x:v>SD 玛琪</x:v>
      </x:c>
      <x:c r="B5" s="11" t="str">
        <x:v>VOLKS</x:v>
      </x:c>
      <x:c r="C5" s="12" t="str">
        <x:v>拉筋连接、球体关节、双重肘关节</x:v>
      </x:c>
      <x:c r="D5" s="13" t="str">
        <x:v>成品含服</x:v>
      </x:c>
      <x:c r="E5" s="20" t="str">
        <x:v>未披露</x:v>
      </x:c>
      <x:c r="F5" s="21" t="n">
        <x:v>540</x:v>
      </x:c>
      <x:c r="G5" s="16" t="str">
        <x:v>官方 SD 女孩全高约 54 cm</x:v>
      </x:c>
      <x:c r="H5" s="17" t="str">
        <x:v>布衣穿脱、换假发、换眼</x:v>
      </x:c>
      <x:c r="I5" s="18" t="str">
        <x:v>聚氨酯树脂、玻璃眼</x:v>
      </x:c>
      <x:c r="J5" s="19" t="str">
        <x:v>原创人偶</x:v>
      </x:c>
      <x:c r="K5" s="11" t="str">
        <x:v>SD女の子 マキ（2025标准款）</x:v>
      </x:c>
      <x:c r="L5" s="11" t="str">
        <x:v>日本</x:v>
      </x:c>
      <x:c r="M5" s="11" t="str">
        <x:v>未披露</x:v>
      </x:c>
      <x:c r="N5" s="11" t="str">
        <x:v>按所列来源的具体型号整理；不代表全部批次。</x:v>
      </x:c>
      <x:c r="O5" s="11" t="str">
        <x:v>高度 54 cm（官方 SD 女孩全高约 54 cm）</x:v>
      </x:c>
      <x:c r="P5" s="11" t="str">
        <x:v>选定版本：标准款 SD 女孩 Maki，Fair 肤色 SC-01，采用 UV Protect 的 Pure Skin；玻璃眼为 16 mm。
交付内容：本体、专用假发与衣装。假发通常在三种造型中随机附带，官方说明店头有库存时可选择；购买后需要自行穿衣与戴假发。
来源范围：54 cm 为官方标准款页面注明的 SD 女孩全高。玻璃眼、肤色和衣装为 Maki 对应段落规格。</x:v>
      </x:c>
      <x:c r="Q5" s="11" t="str">
        <x:v>未取得产品对应证据</x:v>
      </x:c>
      <x:c r="R5" s="11" t="str">
        <x:v>2026-10-05</x:v>
      </x:c>
      <x:c r="S5" s="11" t="str">
        <x:v>volks-sd-maki</x:v>
      </x:c>
      <x:c r="T5" s="11" t="str">
        <x:v>https://dollfie.ec.volks.co.jp/item/4518992453491.html</x:v>
      </x:c>
    </x:row>
    <x:row r="6" ht="110" customHeight="1">
      <x:c r="A6" s="11" t="str">
        <x:v>Mirai · Cinnamon</x:v>
      </x:c>
      <x:c r="B6" s="11" t="str">
        <x:v>Smart Doll</x:v>
      </x:c>
      <x:c r="C6" s="12" t="str">
        <x:v>内部骨架、关节可动</x:v>
      </x:c>
      <x:c r="D6" s="13" t="str">
        <x:v>素体成品</x:v>
      </x:c>
      <x:c r="E6" s="20" t="str">
        <x:v>未披露</x:v>
      </x:c>
      <x:c r="F6" s="21"/>
      <x:c r="G6" s="16" t="str">
        <x:v>未披露</x:v>
      </x:c>
      <x:c r="H6" s="17" t="str">
        <x:v>布衣穿脱</x:v>
      </x:c>
      <x:c r="I6" s="18" t="str">
        <x:v>材料未披露</x:v>
      </x:c>
      <x:c r="J6" s="19" t="str">
        <x:v>原创人偶</x:v>
      </x:c>
      <x:c r="K6" s="11" t="str">
        <x:v>Smart Doll Mirai — Cinnamon / Fully Assembled</x:v>
      </x:c>
      <x:c r="L6" s="11" t="str">
        <x:v>日本</x:v>
      </x:c>
      <x:c r="M6" s="11" t="str">
        <x:v>日本（东京制作／发货）</x:v>
      </x:c>
      <x:c r="N6" s="11" t="str">
        <x:v>按所列来源的具体型号整理；不代表全部批次。</x:v>
      </x:c>
      <x:c r="O6" s="11" t="str">
        <x:v>未披露</x:v>
      </x:c>
      <x:c r="P6" s="11" t="str">
        <x:v>选定版本：选 Fully Assembled 的完整人形版本；同页 Bodyless 选项不属于本条。官方描述内置 Evolve 骨架，可在摆姿时提供触觉与声音反馈。
服装范围：本版附内衣及支架等配件，照片中的其他服装与道具不包含在内。
尺寸待补：产品专页未直接列出该版本的全高与比例。品牌介绍中的“60 cm”只作为系列背景保留，不替代这件商品的尺寸记录。</x:v>
      </x:c>
      <x:c r="Q6" s="11" t="str">
        <x:v>未取得产品对应证据</x:v>
      </x:c>
      <x:c r="R6" s="11" t="str">
        <x:v>2026-10-05</x:v>
      </x:c>
      <x:c r="S6" s="11" t="str">
        <x:v>smartdoll-mirai-cinnamon</x:v>
      </x:c>
      <x:c r="T6" s="11" t="str">
        <x:v>https://shop.smartdoll.jp/collections/fashion-doll/products/smart-doll-mirai-cinnamon</x:v>
      </x:c>
    </x:row>
    <x:row r="7" ht="110" customHeight="1">
      <x:c r="A7" s="11" t="str">
        <x:v>小阿什莉 · 唱诗班</x:v>
      </x:c>
      <x:c r="B7" s="11" t="str">
        <x:v>TinyFox</x:v>
      </x:c>
      <x:c r="C7" s="12" t="str">
        <x:v>关节可动、连接待核实</x:v>
      </x:c>
      <x:c r="D7" s="13" t="str">
        <x:v>成品含服</x:v>
      </x:c>
      <x:c r="E7" s="20" t="str">
        <x:v>比例 1:6</x:v>
      </x:c>
      <x:c r="F7" s="21" t="n">
        <x:v>275</x:v>
      </x:c>
      <x:c r="G7" s="16" t="str">
        <x:v>经销商标注全身 27.5 cm</x:v>
      </x:c>
      <x:c r="H7" s="17" t="str">
        <x:v>布衣穿脱、换假发、换眼</x:v>
      </x:c>
      <x:c r="I7" s="18" t="str">
        <x:v>PVC、ABS</x:v>
      </x:c>
      <x:c r="J7" s="19" t="str">
        <x:v>原创人偶</x:v>
      </x:c>
      <x:c r="K7" s="11" t="str">
        <x:v>TinyFox 聖歌隊 リトルアシュリー 1/6 MJD フルセット</x:v>
      </x:c>
      <x:c r="L7" s="11" t="str">
        <x:v>未单独核对</x:v>
      </x:c>
      <x:c r="M7" s="11" t="str">
        <x:v>未披露</x:v>
      </x:c>
      <x:c r="N7" s="11" t="str">
        <x:v>按所列来源的具体型号整理；不代表全部批次。</x:v>
      </x:c>
      <x:c r="O7" s="11" t="str">
        <x:v>高度 27.5 cm（全身，含头）
素体 22.5 cm（经销商另列 body 高度）</x:v>
      </x:c>
      <x:c r="P7" s="11" t="str">
        <x:v>来源与结构：主来源为 La Peonier 的本型号介绍，属于经销商专页。其使用 MJD 名称，本条保留可动特征，未据此断言全部关节的实际连接构造。
型号细节：全套白巧肤色，04S 妆面头，14 mm 眼；身体 22.5 cm 与全身 27.5 cm 是两个口径。
交付内容：全套包含本体、假发与唱诗班衣装；具体附件以该专页清单为准。未取得生产产地和跨品牌适配证明。</x:v>
      </x:c>
      <x:c r="Q7" s="11" t="str">
        <x:v>未取得产品对应证据</x:v>
      </x:c>
      <x:c r="R7" s="11" t="str">
        <x:v>2026-10-05</x:v>
      </x:c>
      <x:c r="S7" s="11" t="str">
        <x:v>tinyfox-little-ashley</x:v>
      </x:c>
      <x:c r="T7" s="11" t="str">
        <x:v>https://www.lapeonier.com/post/2023122901</x:v>
      </x:c>
    </x:row>
    <x:row r="8" ht="110" customHeight="1">
      <x:c r="A8" s="11" t="str">
        <x:v>OBITSU 11 cm 素体</x:v>
      </x:c>
      <x:c r="B8" s="11" t="str">
        <x:v>OBITSU</x:v>
      </x:c>
      <x:c r="C8" s="12" t="str">
        <x:v>关节可动</x:v>
      </x:c>
      <x:c r="D8" s="13" t="str">
        <x:v>素体成品</x:v>
      </x:c>
      <x:c r="E8" s="20" t="str">
        <x:v>未披露</x:v>
      </x:c>
      <x:c r="F8" s="21" t="n">
        <x:v>110</x:v>
      </x:c>
      <x:c r="G8" s="16" t="str">
        <x:v>官方素体规格约 11 cm，头需另配</x:v>
      </x:c>
      <x:c r="H8" s="17" t="str">
        <x:v>布衣穿脱、换手、头部适配器</x:v>
      </x:c>
      <x:c r="I8" s="18" t="str">
        <x:v>材料未披露</x:v>
      </x:c>
      <x:c r="J8" s="19" t="str">
        <x:v>素体</x:v>
      </x:c>
      <x:c r="K8" s="11" t="str">
        <x:v>11BD-D01MN / ナチュラル・マットスキン</x:v>
      </x:c>
      <x:c r="L8" s="11" t="str">
        <x:v>日本</x:v>
      </x:c>
      <x:c r="M8" s="11" t="str">
        <x:v>未披露</x:v>
      </x:c>
      <x:c r="N8" s="11" t="str">
        <x:v>按所列来源的具体型号整理；不代表全部批次。</x:v>
      </x:c>
      <x:c r="O8" s="11" t="str">
        <x:v>高度 11 cm（官方素体规格约 11 cm，头需另配）</x:v>
      </x:c>
      <x:c r="P8" s="11" t="str">
        <x:v>选定型号：选自然肤色哑光 11BD-D01MN，区别于带 -G 的磁足版本；不把磁足功能套用到本条。
配件与连接：官方提供持物／握拳手、头部适配器与垫片。适配器并不保证任何厂牌头都能直接安装。
尺寸口径：11 cm 为身体规格；装上不同头部后总高会变化。</x:v>
      </x:c>
      <x:c r="Q8" s="11" t="str">
        <x:v>未取得产品对应证据</x:v>
      </x:c>
      <x:c r="R8" s="11" t="str">
        <x:v>2026-10-05</x:v>
      </x:c>
      <x:c r="S8" s="11" t="str">
        <x:v>obitsu-11-matte</x:v>
      </x:c>
      <x:c r="T8" s="11" t="str">
        <x:v>https://obitsu.co.jp/doll-division/obitsu-body-and-parts/obitsu-body/obitsu-body-11/</x:v>
      </x:c>
    </x:row>
    <x:row r="9" ht="110" customHeight="1">
      <x:c r="A9" s="11" t="str">
        <x:v>Yuki · 机能布衣</x:v>
      </x:c>
      <x:c r="B9" s="11" t="str">
        <x:v>Max Factory</x:v>
      </x:c>
      <x:c r="C9" s="12" t="str">
        <x:v>关节可动</x:v>
      </x:c>
      <x:c r="D9" s="13" t="str">
        <x:v>成品含服</x:v>
      </x:c>
      <x:c r="E9" s="20" t="str">
        <x:v>无固定比例</x:v>
      </x:c>
      <x:c r="F9" s="21" t="n">
        <x:v>130</x:v>
      </x:c>
      <x:c r="G9" s="16" t="str">
        <x:v>官方人形全高约 130 mm</x:v>
      </x:c>
      <x:c r="H9" s="17" t="str">
        <x:v>布衣穿脱、换脸、换手、头部互换（有限制）</x:v>
      </x:c>
      <x:c r="I9" s="18" t="str">
        <x:v>ABS、PVC、尼龙布、TPE</x:v>
      </x:c>
      <x:c r="J9" s="19" t="str">
        <x:v>角色人形</x:v>
      </x:c>
      <x:c r="K9" s="11" t="str">
        <x:v>figma Styles Female Body (Yuki) with Techwear Outfit</x:v>
      </x:c>
      <x:c r="L9" s="11" t="str">
        <x:v>日本</x:v>
      </x:c>
      <x:c r="M9" s="11" t="str">
        <x:v>未披露</x:v>
      </x:c>
      <x:c r="N9" s="11" t="str">
        <x:v>按所列来源的具体型号整理；不代表全部批次。</x:v>
      </x:c>
      <x:c r="O9" s="11" t="str">
        <x:v>高度 13 cm（官方人形全高约 130 mm）</x:v>
      </x:c>
      <x:c r="P9" s="11" t="str">
        <x:v>衣装材料：夹克与长裤为尼龙布；背心为 TPE。布衣与柔性塑料衣物是不同材质。
头部适配：可用其他 figma 头部替换，但官方提示部分产品可能无法正确适配；不标成通用。
附属物：附表情、替换手、刀与可动支架等；130 mm 是人形高度。</x:v>
      </x:c>
      <x:c r="Q9" s="11" t="str">
        <x:v>未取得产品对应证据</x:v>
      </x:c>
      <x:c r="R9" s="11" t="str">
        <x:v>2026-10-05</x:v>
      </x:c>
      <x:c r="S9" s="11" t="str">
        <x:v>figma-yuki-techwear</x:v>
      </x:c>
      <x:c r="T9" s="11" t="str">
        <x:v>https://www.goodsmile.com/en/product/8855/figma%2BFemale%2BBody%2BYuki%2Bwith%2BTechwear%2BOutfit</x:v>
      </x:c>
    </x:row>
    <x:row r="10" ht="110" customHeight="1">
      <x:c r="A10" s="11" t="str">
        <x:v>DRESS UP BODY · L</x:v>
      </x:c>
      <x:c r="B10" s="11" t="str">
        <x:v>KOTOBUKIYA</x:v>
      </x:c>
      <x:c r="C10" s="12" t="str">
        <x:v>关节可动</x:v>
      </x:c>
      <x:c r="D10" s="13" t="str">
        <x:v>待拼装</x:v>
      </x:c>
      <x:c r="E10" s="20" t="str">
        <x:v>比例 1:10</x:v>
      </x:c>
      <x:c r="F10" s="21" t="n">
        <x:v>142</x:v>
      </x:c>
      <x:c r="G10" s="16" t="str">
        <x:v>官方身体高 142 mm，不含另配头</x:v>
      </x:c>
      <x:c r="H10" s="17" t="str">
        <x:v>布衣穿脱、硬质换件、头部适配器</x:v>
      </x:c>
      <x:c r="I10" s="18" t="str">
        <x:v>PVC、ABS、POM</x:v>
      </x:c>
      <x:c r="J10" s="19" t="str">
        <x:v>素体</x:v>
      </x:c>
      <x:c r="K10" s="11" t="str">
        <x:v>DRESS UP BODY [L] / JK019</x:v>
      </x:c>
      <x:c r="L10" s="11" t="str">
        <x:v>日本</x:v>
      </x:c>
      <x:c r="M10" s="11" t="str">
        <x:v>未披露</x:v>
      </x:c>
      <x:c r="N10" s="11" t="str">
        <x:v>按所列来源的具体型号整理；不代表全部批次。</x:v>
      </x:c>
      <x:c r="O10" s="11" t="str">
        <x:v>素体 14.2 cm（不含头）
含头约 16 cm（官方示例装头后高度，依头部而变）</x:v>
      </x:c>
      <x:c r="P10" s="11" t="str">
        <x:v>商品组成：含家居服体与内衣体两具素体，头部均需另配；不是一具完整带头人形。
尺寸与衣服：身体 142 mm，装配头部后的示例约 160 mm。官方推荐 Tiny Closet 及部分 15–16 cm 人形衣装，仍需按衣服设计确认。
连接限制：含多种颈连接配件。配件尺寸只说明连接点，不能直接证明所有同尺寸头与服装均适配。</x:v>
      </x:c>
      <x:c r="Q10" s="11" t="str">
        <x:v>未取得产品对应证据</x:v>
      </x:c>
      <x:c r="R10" s="11" t="str">
        <x:v>2026-10-05</x:v>
      </x:c>
      <x:c r="S10" s="11" t="str">
        <x:v>sousai-dress-up-l</x:v>
      </x:c>
      <x:c r="T10" s="11" t="str">
        <x:v>https://www.kotobukiya.co.jp/en/product/detail/p4934054031894/</x:v>
      </x:c>
    </x:row>
    <x:row r="11" ht="110" customHeight="1">
      <x:c r="A11" s="11" t="str">
        <x:v>幼 SD 里穗</x:v>
      </x:c>
      <x:c r="B11" s="11" t="str">
        <x:v>VOLKS</x:v>
      </x:c>
      <x:c r="C11" s="12" t="str">
        <x:v>拉筋连接、球体关节</x:v>
      </x:c>
      <x:c r="D11" s="13" t="str">
        <x:v>素体成品</x:v>
      </x:c>
      <x:c r="E11" s="20" t="str">
        <x:v>未披露</x:v>
      </x:c>
      <x:c r="F11" s="21"/>
      <x:c r="G11" s="16" t="str">
        <x:v>未披露</x:v>
      </x:c>
      <x:c r="H11" s="17" t="str">
        <x:v>布衣穿脱、换假发、换眼</x:v>
      </x:c>
      <x:c r="I11" s="18" t="str">
        <x:v>聚氨酯树脂、玻璃眼</x:v>
      </x:c>
      <x:c r="J11" s="19" t="str">
        <x:v>原创人偶</x:v>
      </x:c>
      <x:c r="K11" s="11" t="str">
        <x:v>幼SD女の子 りほ（2026）</x:v>
      </x:c>
      <x:c r="L11" s="11" t="str">
        <x:v>日本</x:v>
      </x:c>
      <x:c r="M11" s="11" t="str">
        <x:v>日本（官方系列说明：京都工房制作）</x:v>
      </x:c>
      <x:c r="N11" s="11" t="str">
        <x:v>按所列来源的具体型号整理；不代表全部批次。</x:v>
      </x:c>
      <x:c r="O11" s="11" t="str">
        <x:v>未披露</x:v>
      </x:c>
      <x:c r="P11" s="11" t="str">
        <x:v>选定版本：Riho / りほ，改良版幼 SD 女孩体、Fair SC-01、UV Protect。玻璃眼 16 mm，假发为 W-194C 的专用颜色。
衣服另售：照片中的樱桃衣装属于单独商品，不属于这条人形交付内容。
尺寸待补：主产品页没有直接给出该版本全高；未用其他幼 SD 型号或当前系列概览代填。</x:v>
      </x:c>
      <x:c r="Q11" s="11" t="str">
        <x:v>官方专题明确：2026-07-26 Home Town Dolls Party 京都 21 发售；同专题另有本款展示地点与日期。</x:v>
      </x:c>
      <x:c r="R11" s="11" t="str">
        <x:v>2026-10-05</x:v>
      </x:c>
      <x:c r="S11" s="11" t="str">
        <x:v>volks-yosd-riho</x:v>
      </x:c>
      <x:c r="T11" s="11" t="str">
        <x:v>https://dollfie.volks.co.jp/sd/special/yosd/sp2607.html</x:v>
      </x:c>
    </x:row>
    <x:row r="12" ht="110" customHeight="1">
      <x:c r="A12" s="11" t="str">
        <x:v>DDS 镜音铃 · 原版</x:v>
      </x:c>
      <x:c r="B12" s="11" t="str">
        <x:v>VOLKS</x:v>
      </x:c>
      <x:c r="C12" s="12" t="str">
        <x:v>内部骨架、关节可动</x:v>
      </x:c>
      <x:c r="D12" s="13" t="str">
        <x:v>成品含服</x:v>
      </x:c>
      <x:c r="E12" s="20" t="str">
        <x:v>未披露</x:v>
      </x:c>
      <x:c r="F12" s="21"/>
      <x:c r="G12" s="16" t="str">
        <x:v>未披露</x:v>
      </x:c>
      <x:c r="H12" s="17" t="str">
        <x:v>布衣穿脱、换假发、换眼</x:v>
      </x:c>
      <x:c r="I12" s="18" t="str">
        <x:v>软质 PVC</x:v>
      </x:c>
      <x:c r="J12" s="19" t="str">
        <x:v>角色人形</x:v>
      </x:c>
      <x:c r="K12" s="11" t="str">
        <x:v>Dollfie Dream Sister 鏡音リン（原版）</x:v>
      </x:c>
      <x:c r="L12" s="11" t="str">
        <x:v>日本</x:v>
      </x:c>
      <x:c r="M12" s="11" t="str">
        <x:v>未披露</x:v>
      </x:c>
      <x:c r="N12" s="11" t="str">
        <x:v>按所列来源的具体型号整理；不代表全部批次。</x:v>
      </x:c>
      <x:c r="O12" s="11" t="str">
        <x:v>未披露</x:v>
      </x:c>
      <x:c r="P12" s="11" t="str">
        <x:v>版本边界：本条为原版 DDS 镜音铃专页所述 DDS Base Body、Fresh 肤色、SS 胸；没有把 Reboot 版或 DD-f³ 2.0 的数据合并进来。
尺寸待补：未取得该原版商品的官方全高；比例与高度留空。
交付与操作：附角色服装、假发与专用眼等。换装需留意官方关于衣装色移与纤细缝制的提示。</x:v>
      </x:c>
      <x:c r="Q12" s="11" t="str">
        <x:v>未取得产品对应证据</x:v>
      </x:c>
      <x:c r="R12" s="11" t="str">
        <x:v>2026-10-05</x:v>
      </x:c>
      <x:c r="S12" s="11" t="str">
        <x:v>volks-dds-rin-original</x:v>
      </x:c>
      <x:c r="T12" s="11" t="str">
        <x:v>https://dollfie.volks.co.jp/dd/special/piapro/product/dds_rin.html</x:v>
      </x:c>
    </x:row>
    <x:row r="13" ht="110" customHeight="1">
      <x:c r="A13" s="11" t="str">
        <x:v>DDS 兰卡·李</x:v>
      </x:c>
      <x:c r="B13" s="11" t="str">
        <x:v>VOLKS</x:v>
      </x:c>
      <x:c r="C13" s="12" t="str">
        <x:v>内部骨架、关节可动</x:v>
      </x:c>
      <x:c r="D13" s="13" t="str">
        <x:v>成品含服</x:v>
      </x:c>
      <x:c r="E13" s="20" t="str">
        <x:v>未披露</x:v>
      </x:c>
      <x:c r="F13" s="21"/>
      <x:c r="G13" s="16" t="str">
        <x:v>未披露</x:v>
      </x:c>
      <x:c r="H13" s="17" t="str">
        <x:v>布衣穿脱、换假发、换眼</x:v>
      </x:c>
      <x:c r="I13" s="18" t="str">
        <x:v>软质 PVC</x:v>
      </x:c>
      <x:c r="J13" s="19" t="str">
        <x:v>角色人形</x:v>
      </x:c>
      <x:c r="K13" s="11" t="str">
        <x:v>Dollfie Dream Sister Ranka Lee（2018 会场版本）</x:v>
      </x:c>
      <x:c r="L13" s="11" t="str">
        <x:v>日本</x:v>
      </x:c>
      <x:c r="M13" s="11" t="str">
        <x:v>未披露</x:v>
      </x:c>
      <x:c r="N13" s="11" t="str">
        <x:v>按所列来源的具体型号整理；不代表全部批次。</x:v>
      </x:c>
      <x:c r="O13" s="11" t="str">
        <x:v>未披露</x:v>
      </x:c>
      <x:c r="P13" s="11" t="str">
        <x:v>选定版本：普通肤色、DDS Base Body、S 胸，22 mm 专用动漫眼。附演出造型假发与日常发型附加假发。
换件限制：专页明确附持物手 DDII-H-08，不附其他手型。
材料与尺寸：身体为软质 PVC；照片衣服与假发有色移可能。未用现行 DDS 身体尺寸替换旧版本数据。</x:v>
      </x:c>
      <x:c r="Q13" s="11" t="str">
        <x:v>官方专页明确：2018-05-05 Dolls Party 39 会场「天使のすみか SHOP」发售。</x:v>
      </x:c>
      <x:c r="R13" s="11" t="str">
        <x:v>2026-10-05</x:v>
      </x:c>
      <x:c r="S13" s="11" t="str">
        <x:v>volks-dds-ranka</x:v>
      </x:c>
      <x:c r="T13" s="11" t="str">
        <x:v>https://www.volks.co.jp/macrossf/cn/dds_ranka/</x:v>
      </x:c>
    </x:row>
    <x:row r="14" ht="110" customHeight="1">
      <x:c r="A14" s="11" t="str">
        <x:v>MIA BLUE · 全套</x:v>
      </x:c>
      <x:c r="B14" s="11" t="str">
        <x:v>DollZone</x:v>
      </x:c>
      <x:c r="C14" s="12" t="str">
        <x:v>球体关节、连接待核实</x:v>
      </x:c>
      <x:c r="D14" s="13" t="str">
        <x:v>成品含服</x:v>
      </x:c>
      <x:c r="E14" s="20" t="str">
        <x:v>比例 1:6</x:v>
      </x:c>
      <x:c r="F14" s="21"/>
      <x:c r="G14" s="16" t="str">
        <x:v>未披露</x:v>
      </x:c>
      <x:c r="H14" s="17" t="str">
        <x:v>布衣穿脱</x:v>
      </x:c>
      <x:c r="I14" s="18" t="str">
        <x:v>材料未披露</x:v>
      </x:c>
      <x:c r="J14" s="19" t="str">
        <x:v>原创人偶</x:v>
      </x:c>
      <x:c r="K14" s="11" t="str">
        <x:v>DollZone MIA BLUE — Full Set</x:v>
      </x:c>
      <x:c r="L14" s="11" t="str">
        <x:v>未单独核对</x:v>
      </x:c>
      <x:c r="M14" s="11" t="str">
        <x:v>未披露</x:v>
      </x:c>
      <x:c r="N14" s="11" t="str">
        <x:v>按所列来源的具体型号整理；不代表全部批次。</x:v>
      </x:c>
      <x:c r="O14" s="11" t="str">
        <x:v>未披露</x:v>
      </x:c>
      <x:c r="P14" s="11" t="str">
        <x:v>选定选项：官方同页提供 MIA／MIA BLUE 与 Full Set、Nude Doll、Head 等选择；本条选定 MIA BLUE 的 Full Set，不把另一个头型或全套衣服计入其他选项。
结构证据：官方名称说明 spherical joint / 球体关节；这只确认关节形式，拉筋结构尚未单独核对。
资料缺口：未将尺寸图中未逐项核对的数值写成高度；具体材料、头眼尺寸与适配留待补充。</x:v>
      </x:c>
      <x:c r="Q14" s="11" t="str">
        <x:v>未取得产品对应证据</x:v>
      </x:c>
      <x:c r="R14" s="11" t="str">
        <x:v>2026-10-05</x:v>
      </x:c>
      <x:c r="S14" s="11" t="str">
        <x:v>dollzone-mia-full</x:v>
      </x:c>
      <x:c r="T14" s="11" t="str">
        <x:v>https://doll-zone.com/products/pre-saledollzone-mia-mia-blue-1-6-doll-full-set-nude-doll-head-presale-sd-doll-spherical-joint-dolls</x:v>
      </x:c>
    </x:row>
    <x:row r="15" ht="110" customHeight="1">
      <x:c r="A15" s="11" t="str">
        <x:v>Koron · Snotty Cat IV</x:v>
      </x:c>
      <x:c r="B15" s="11" t="str">
        <x:v>AZONE</x:v>
      </x:c>
      <x:c r="C15" s="12" t="str">
        <x:v>关节可动</x:v>
      </x:c>
      <x:c r="D15" s="13" t="str">
        <x:v>成品含服</x:v>
      </x:c>
      <x:c r="E15" s="20" t="str">
        <x:v>未披露</x:v>
      </x:c>
      <x:c r="F15" s="21"/>
      <x:c r="G15" s="16" t="str">
        <x:v>未披露</x:v>
      </x:c>
      <x:c r="H15" s="17" t="str">
        <x:v>布衣穿脱、换脚</x:v>
      </x:c>
      <x:c r="I15" s="18" t="str">
        <x:v>材料未披露</x:v>
      </x:c>
      <x:c r="J15" s="19" t="str">
        <x:v>原创人偶</x:v>
      </x:c>
      <x:c r="K15" s="11" t="str">
        <x:v>Koron / Snotty Cat IV ver.1.1</x:v>
      </x:c>
      <x:c r="L15" s="11" t="str">
        <x:v>日本</x:v>
      </x:c>
      <x:c r="M15" s="11" t="str">
        <x:v>未披露</x:v>
      </x:c>
      <x:c r="N15" s="11" t="str">
        <x:v>按所列来源的具体型号整理；不代表全部批次。</x:v>
      </x:c>
      <x:c r="O15" s="11" t="str">
        <x:v>未披露</x:v>
      </x:c>
      <x:c r="P15" s="11" t="str">
        <x:v>选定身体：官方型号为 PureNeemo 2 Emotion S 女孩白肌；不与其他 Koron 版本的 PureNeemo 身体混用。
交付内容：附针织帽、层叠造型毛衣、裙、外套、内裤、长袜、靴与高跟脚。
尺寸待补：这篇型号发布介绍未直接给出比例、高度与材料；保留为未披露。</x:v>
      </x:c>
      <x:c r="Q15" s="11" t="str">
        <x:v>未取得产品对应证据</x:v>
      </x:c>
      <x:c r="R15" s="11" t="str">
        <x:v>2026-10-05</x:v>
      </x:c>
      <x:c r="S15" s="11" t="str">
        <x:v>azone-koron-snotty</x:v>
      </x:c>
      <x:c r="T15" s="11" t="str">
        <x:v>https://news.azone-int.co.jp/archives/22175</x:v>
      </x:c>
    </x:row>
    <x:row r="16" ht="110" customHeight="1">
      <x:c r="A16" s="11" t="str">
        <x:v>Fresh ruruko 2105</x:v>
      </x:c>
      <x:c r="B16" s="11" t="str">
        <x:v>PetWORKs</x:v>
      </x:c>
      <x:c r="C16" s="12" t="str">
        <x:v>关节可动</x:v>
      </x:c>
      <x:c r="D16" s="13" t="str">
        <x:v>成品含服</x:v>
      </x:c>
      <x:c r="E16" s="20" t="str">
        <x:v>未披露</x:v>
      </x:c>
      <x:c r="F16" s="21" t="n">
        <x:v>220</x:v>
      </x:c>
      <x:c r="G16" s="16" t="str">
        <x:v>官方全高约 22 cm</x:v>
      </x:c>
      <x:c r="H16" s="17" t="str">
        <x:v>布衣穿脱、植发</x:v>
      </x:c>
      <x:c r="I16" s="18" t="str">
        <x:v>PVC、ABS、布料</x:v>
      </x:c>
      <x:c r="J16" s="19" t="str">
        <x:v>原创人偶</x:v>
      </x:c>
      <x:c r="K16" s="11" t="str">
        <x:v>Fresh ruruko 2105</x:v>
      </x:c>
      <x:c r="L16" s="11" t="str">
        <x:v>日本</x:v>
      </x:c>
      <x:c r="M16" s="11" t="str">
        <x:v>标注 MADE IN JAPAN；身体与衣装为中国制造</x:v>
      </x:c>
      <x:c r="N16" s="11" t="str">
        <x:v>按所列来源的具体型号整理；不代表全部批次。</x:v>
      </x:c>
      <x:c r="O16" s="11" t="str">
        <x:v>高度 22 cm（官方全高约 22 cm）</x:v>
      </x:c>
      <x:c r="P16" s="11" t="str">
        <x:v>头发方式：官方说明手工植毛与剪发，因此记录植发，不当作可直接换假发。
制造口径：商品标为 MADE IN JAPAN，同时明确身体和衣装为中国制造；两层信息一起保留。
材料与衣装：PVC／ABS 人形，附布制服装。官方提示衣装／小物颜色可能染到 PVC 身体。</x:v>
      </x:c>
      <x:c r="Q16" s="11" t="str">
        <x:v>未取得产品对应证据</x:v>
      </x:c>
      <x:c r="R16" s="11" t="str">
        <x:v>2026-10-05</x:v>
      </x:c>
      <x:c r="S16" s="11" t="str">
        <x:v>petworks-ruruko-2105</x:v>
      </x:c>
      <x:c r="T16" s="11" t="str">
        <x:v>https://www.petworks.co.jp/doll/ruruko/4411/</x:v>
      </x:c>
    </x:row>
    <x:row r="17" ht="110" customHeight="1">
      <x:c r="A17" s="11" t="str">
        <x:v>芭比 · 可动网球员</x:v>
      </x:c>
      <x:c r="B17" s="11" t="str">
        <x:v>Mattel</x:v>
      </x:c>
      <x:c r="C17" s="12" t="str">
        <x:v>关节可动、22 处可动</x:v>
      </x:c>
      <x:c r="D17" s="13" t="str">
        <x:v>成品含服</x:v>
      </x:c>
      <x:c r="E17" s="20" t="str">
        <x:v>未披露</x:v>
      </x:c>
      <x:c r="F17" s="21"/>
      <x:c r="G17" s="16" t="str">
        <x:v>未披露</x:v>
      </x:c>
      <x:c r="H17" s="17" t="str">
        <x:v>布衣穿脱</x:v>
      </x:c>
      <x:c r="I17" s="18" t="str">
        <x:v>材料未披露</x:v>
      </x:c>
      <x:c r="J17" s="19" t="str">
        <x:v>原创人偶</x:v>
      </x:c>
      <x:c r="K17" s="11" t="str">
        <x:v>Barbie Made to Move Tennis Player / HKT73</x:v>
      </x:c>
      <x:c r="L17" s="11" t="str">
        <x:v>美国</x:v>
      </x:c>
      <x:c r="M17" s="11" t="str">
        <x:v>未披露</x:v>
      </x:c>
      <x:c r="N17" s="11" t="str">
        <x:v>按所列来源的具体型号整理；不代表全部批次。</x:v>
      </x:c>
      <x:c r="O17" s="11" t="str">
        <x:v>未披露</x:v>
      </x:c>
      <x:c r="P17" s="11" t="str">
        <x:v>可动范围：官方列出 22 处可动，适合运动姿势；此数值不等于 22 种连接机制。
附属物：穿网球上衣与裙、运动鞋、遮阳帽，附球拍与球。
尺寸与材料：未用包装长宽高当作玩偶身高；商品专页未取得明确比例、全高与主体材料。</x:v>
      </x:c>
      <x:c r="Q17" s="11" t="str">
        <x:v>未取得产品对应证据</x:v>
      </x:c>
      <x:c r="R17" s="11" t="str">
        <x:v>2026-10-05</x:v>
      </x:c>
      <x:c r="S17" s="11" t="str">
        <x:v>barbie-tennis-hkt73</x:v>
      </x:c>
      <x:c r="T17" s="11" t="str">
        <x:v>https://shop.mattel.com/products/barbie-made-to-move-tennis-player-doll-hkt73</x:v>
      </x:c>
    </x:row>
    <x:row r="18" ht="110" customHeight="1">
      <x:c r="A18" s="11" t="str">
        <x:v>OBITSU 22 cm · S 胸</x:v>
      </x:c>
      <x:c r="B18" s="11" t="str">
        <x:v>OBITSU</x:v>
      </x:c>
      <x:c r="C18" s="12" t="str">
        <x:v>内部骨架、关节可动</x:v>
      </x:c>
      <x:c r="D18" s="13" t="str">
        <x:v>素体成品</x:v>
      </x:c>
      <x:c r="E18" s="20" t="str">
        <x:v>比例 1:6</x:v>
      </x:c>
      <x:c r="F18" s="21" t="n">
        <x:v>220</x:v>
      </x:c>
      <x:c r="G18" s="16" t="str">
        <x:v>官方身体约 22 cm，不附头</x:v>
      </x:c>
      <x:c r="H18" s="17" t="str">
        <x:v>布衣穿脱、换手、头部适配器</x:v>
      </x:c>
      <x:c r="I18" s="18" t="str">
        <x:v>ABS、POM、PVC、软质外皮</x:v>
      </x:c>
      <x:c r="J18" s="19" t="str">
        <x:v>素体</x:v>
      </x:c>
      <x:c r="K18" s="11" t="str">
        <x:v>22BD-F01N-S / ナチュラル</x:v>
      </x:c>
      <x:c r="L18" s="11" t="str">
        <x:v>日本</x:v>
      </x:c>
      <x:c r="M18" s="11" t="str">
        <x:v>未披露</x:v>
      </x:c>
      <x:c r="N18" s="11" t="str">
        <x:v>按所列来源的具体型号整理；不代表全部批次。</x:v>
      </x:c>
      <x:c r="O18" s="11" t="str">
        <x:v>高度 22 cm（官方身体约 22 cm，不附头）</x:v>
      </x:c>
      <x:c r="P18" s="11" t="str">
        <x:v>身体构造：胸至腰采用软质外皮与内部骨架，其他连接由多种材料构成。
交付内容：无头自然肤色 S 胸素体，附持物／握拳手与头部适配器。
适配范围：不同批次的肤色与关节强度可能有差别；未证明与 24 cm 的所有衣服通用。</x:v>
      </x:c>
      <x:c r="Q18" s="11" t="str">
        <x:v>未取得产品对应证据</x:v>
      </x:c>
      <x:c r="R18" s="11" t="str">
        <x:v>2026-10-05</x:v>
      </x:c>
      <x:c r="S18" s="11" t="str">
        <x:v>obitsu-22-s</x:v>
      </x:c>
      <x:c r="T18" s="11" t="str">
        <x:v>https://obitsu.co.jp/doll-division/obitsu-body-and-parts/obitsu-body/obitsu-body-22/</x:v>
      </x:c>
    </x:row>
    <x:row r="19" ht="110" customHeight="1">
      <x:c r="A19" s="11" t="str">
        <x:v>OBITSU 24 cm · S 胸</x:v>
      </x:c>
      <x:c r="B19" s="11" t="str">
        <x:v>OBITSU</x:v>
      </x:c>
      <x:c r="C19" s="12" t="str">
        <x:v>内部骨架、关节可动</x:v>
      </x:c>
      <x:c r="D19" s="13" t="str">
        <x:v>素体成品</x:v>
      </x:c>
      <x:c r="E19" s="20" t="str">
        <x:v>约 1:6</x:v>
      </x:c>
      <x:c r="F19" s="21" t="n">
        <x:v>240</x:v>
      </x:c>
      <x:c r="G19" s="16" t="str">
        <x:v>官方身体约 24 cm，不附头</x:v>
      </x:c>
      <x:c r="H19" s="17" t="str">
        <x:v>布衣穿脱、换手、头部适配器</x:v>
      </x:c>
      <x:c r="I19" s="18" t="str">
        <x:v>ABS、POM、PVC、软质外皮</x:v>
      </x:c>
      <x:c r="J19" s="19" t="str">
        <x:v>素体</x:v>
      </x:c>
      <x:c r="K19" s="11" t="str">
        <x:v>24BD-F02N-S / ナチュラル・マットスキン</x:v>
      </x:c>
      <x:c r="L19" s="11" t="str">
        <x:v>日本</x:v>
      </x:c>
      <x:c r="M19" s="11" t="str">
        <x:v>未披露</x:v>
      </x:c>
      <x:c r="N19" s="11" t="str">
        <x:v>按所列来源的具体型号整理；不代表全部批次。</x:v>
      </x:c>
      <x:c r="O19" s="11" t="str">
        <x:v>高度 24 cm（官方身体约 24 cm，不附头）</x:v>
      </x:c>
      <x:c r="P19" s="11" t="str">
        <x:v>身体构造：自然肤色哑光 S 胸。胸至腰采用软质外皮与内部骨架，ABS／POM／PVC 复合构成。
交付与适配：无头，附手型与头部适配器。官方有 24／26 共用手套件，但这不是全身和全部衣服通用的证明。
尺寸口径：约 24 cm 为身体规格，不含另配头。</x:v>
      </x:c>
      <x:c r="Q19" s="11" t="str">
        <x:v>未取得产品对应证据</x:v>
      </x:c>
      <x:c r="R19" s="11" t="str">
        <x:v>2026-10-05</x:v>
      </x:c>
      <x:c r="S19" s="11" t="str">
        <x:v>obitsu-24-s-matte</x:v>
      </x:c>
      <x:c r="T19" s="11" t="str">
        <x:v>https://obitsu.co.jp/doll-division/obitsu-body-and-parts/obitsu-body/obitsu-body-24/</x:v>
      </x:c>
    </x:row>
    <x:row r="20" ht="110" customHeight="1">
      <x:c r="A20" s="11" t="str">
        <x:v>OBITSU 50 cm 素体</x:v>
      </x:c>
      <x:c r="B20" s="11" t="str">
        <x:v>OBITSU</x:v>
      </x:c>
      <x:c r="C20" s="12" t="str">
        <x:v>内部骨架、关节可动</x:v>
      </x:c>
      <x:c r="D20" s="13" t="str">
        <x:v>素体成品</x:v>
      </x:c>
      <x:c r="E20" s="20" t="str">
        <x:v>约 1:3</x:v>
      </x:c>
      <x:c r="F20" s="21" t="n">
        <x:v>500</x:v>
      </x:c>
      <x:c r="G20" s="16" t="str">
        <x:v>官方 50 cm 型号规格；测量起止未细分</x:v>
      </x:c>
      <x:c r="H20" s="17" t="str">
        <x:v>布衣穿脱、硬质换件</x:v>
      </x:c>
      <x:c r="I20" s="18" t="str">
        <x:v>ABS、POM、软质外皮</x:v>
      </x:c>
      <x:c r="J20" s="19" t="str">
        <x:v>素体</x:v>
      </x:c>
      <x:c r="K20" s="11" t="str">
        <x:v>50BD-F01W-G / ホワイティ</x:v>
      </x:c>
      <x:c r="L20" s="11" t="str">
        <x:v>日本</x:v>
      </x:c>
      <x:c r="M20" s="11" t="str">
        <x:v>未披露</x:v>
      </x:c>
      <x:c r="N20" s="11" t="str">
        <x:v>按所列来源的具体型号整理；不代表全部批次。</x:v>
      </x:c>
      <x:c r="O20" s="11" t="str">
        <x:v>高度 50 cm（官方 50 cm 型号规格；测量起止未细分）</x:v>
      </x:c>
      <x:c r="P20" s="11" t="str">
        <x:v>选定版本：在官方 48／50 共用页面中选取 50BD-F01W-G 50 cm 白肤型号；不把 48 cm 规格并为同一条。
结构材料：ABS／POM 内部骨架，外皮为硬／软部位分别处理的软质乙烯材料。
资料口径：页面明确眼睛需另配；没有把系列标题直接换算成装配完成后的某个头顶高度。</x:v>
      </x:c>
      <x:c r="Q20" s="11" t="str">
        <x:v>未取得产品对应证据</x:v>
      </x:c>
      <x:c r="R20" s="11" t="str">
        <x:v>2026-10-05</x:v>
      </x:c>
      <x:c r="S20" s="11" t="str">
        <x:v>obitsu-50-white</x:v>
      </x:c>
      <x:c r="T20" s="11" t="str">
        <x:v>https://obitsu.co.jp/doll-division/obitsu-body-and-parts/obitsu-body/obitsubody48-50/</x:v>
      </x:c>
    </x:row>
    <x:row r="21" ht="110" customHeight="1">
      <x:c r="A21" s="11" t="str">
        <x:v>黏土人偶 · 爱丽丝</x:v>
      </x:c>
      <x:c r="B21" s="11" t="str">
        <x:v>Good Smile Company</x:v>
      </x:c>
      <x:c r="C21" s="12" t="str">
        <x:v>关节可动</x:v>
      </x:c>
      <x:c r="D21" s="13" t="str">
        <x:v>成品含服</x:v>
      </x:c>
      <x:c r="E21" s="20" t="str">
        <x:v>无固定比例</x:v>
      </x:c>
      <x:c r="F21" s="21" t="n">
        <x:v>140</x:v>
      </x:c>
      <x:c r="G21" s="16" t="str">
        <x:v>官方人形全高约 140 mm</x:v>
      </x:c>
      <x:c r="H21" s="17" t="str">
        <x:v>布衣穿脱、头部互换（有限制）、换手</x:v>
      </x:c>
      <x:c r="I21" s="18" t="str">
        <x:v>ABS、PVC</x:v>
      </x:c>
      <x:c r="J21" s="19" t="str">
        <x:v>原创人偶</x:v>
      </x:c>
      <x:c r="K21" s="11" t="str">
        <x:v>Nendoroid Doll Alice</x:v>
      </x:c>
      <x:c r="L21" s="11" t="str">
        <x:v>日本</x:v>
      </x:c>
      <x:c r="M21" s="11" t="str">
        <x:v>未披露</x:v>
      </x:c>
      <x:c r="N21" s="11" t="str">
        <x:v>按所列来源的具体型号整理；不代表全部批次。</x:v>
      </x:c>
      <x:c r="O21" s="11" t="str">
        <x:v>高度 14 cm（官方人形全高约 140 mm）</x:v>
      </x:c>
      <x:c r="P21" s="11" t="str">
        <x:v>人形与衣服：完整可动人形，附爱丽丝裙装／围裙、袜、磁足鞋与替换手及支架。
头部兼容：与黏土人系列头部互换需确认具体型号，官方提示部分商品无法正确安装。
版本口径：保留该专页原版与再贩记录；不把后续新版身体规格代入。</x:v>
      </x:c>
      <x:c r="Q21" s="11" t="str">
        <x:v>未取得产品对应证据</x:v>
      </x:c>
      <x:c r="R21" s="11" t="str">
        <x:v>2026-10-05</x:v>
      </x:c>
      <x:c r="S21" s="11" t="str">
        <x:v>nendoll-alice</x:v>
      </x:c>
      <x:c r="T21" s="11" t="str">
        <x:v>https://www.goodsmile.com/en/product/5336/Nendoroid%2BDoll%2BAlice</x:v>
      </x:c>
    </x:row>
    <x:row r="22" ht="110" customHeight="1">
      <x:c r="A22" s="11" t="str">
        <x:v>黏土人偶 · 男孩素体</x:v>
      </x:c>
      <x:c r="B22" s="11" t="str">
        <x:v>Good Smile Company</x:v>
      </x:c>
      <x:c r="C22" s="12" t="str">
        <x:v>关节可动</x:v>
      </x:c>
      <x:c r="D22" s="13" t="str">
        <x:v>素体成品</x:v>
      </x:c>
      <x:c r="E22" s="20" t="str">
        <x:v>无固定比例</x:v>
      </x:c>
      <x:c r="F22" s="21" t="n">
        <x:v>100</x:v>
      </x:c>
      <x:c r="G22" s="16" t="str">
        <x:v>官方素体高约 100 mm，不含头</x:v>
      </x:c>
      <x:c r="H22" s="17" t="str">
        <x:v>布衣穿脱、头部互换（有限制）、换手</x:v>
      </x:c>
      <x:c r="I22" s="18" t="str">
        <x:v>ABS、PVC</x:v>
      </x:c>
      <x:c r="J22" s="19" t="str">
        <x:v>素体</x:v>
      </x:c>
      <x:c r="K22" s="11" t="str">
        <x:v>Nendoroid Doll archetype: Boy / Almond Milk</x:v>
      </x:c>
      <x:c r="L22" s="11" t="str">
        <x:v>日本</x:v>
      </x:c>
      <x:c r="M22" s="11" t="str">
        <x:v>未披露</x:v>
      </x:c>
      <x:c r="N22" s="11" t="str">
        <x:v>按所列来源的具体型号整理；不代表全部批次。</x:v>
      </x:c>
      <x:c r="O22" s="11" t="str">
        <x:v>高度 10 cm（官方素体高约 100 mm，不含头）</x:v>
      </x:c>
      <x:c r="P22" s="11" t="str">
        <x:v>交付形态：Almond Milk 色男孩素体，不附头与衣服；100 mm 为身体高。
连接与站立：提供颈连接／手型等配件及磁吸站立相关配件；适配仍需查具体头型。
记录边界：商品名中的 archetype 表示可搭配头与衣服的素体产品，未使用另一个肤色版本的外观照片。</x:v>
      </x:c>
      <x:c r="Q22" s="11" t="str">
        <x:v>未取得产品对应证据</x:v>
      </x:c>
      <x:c r="R22" s="11" t="str">
        <x:v>2026-10-05</x:v>
      </x:c>
      <x:c r="S22" s="11" t="str">
        <x:v>nendoll-archetype-boy</x:v>
      </x:c>
      <x:c r="T22" s="11" t="str">
        <x:v>https://www.goodsmile.info/en/product/8679/Nendoroid%2BDoll%2Barchetype%2BBoy%2BAlmond%2BMilk.html</x:v>
      </x:c>
    </x:row>
    <x:row r="23" ht="110" customHeight="1">
      <x:c r="A23" s="11" t="str">
        <x:v>Harmonia · 初音未来</x:v>
      </x:c>
      <x:c r="B23" s="11" t="str">
        <x:v>Good Smile Company</x:v>
      </x:c>
      <x:c r="C23" s="12" t="str">
        <x:v>关节可动</x:v>
      </x:c>
      <x:c r="D23" s="13" t="str">
        <x:v>成品含服</x:v>
      </x:c>
      <x:c r="E23" s="20" t="str">
        <x:v>无固定比例</x:v>
      </x:c>
      <x:c r="F23" s="21" t="n">
        <x:v>230</x:v>
      </x:c>
      <x:c r="G23" s="16" t="str">
        <x:v>官方人形全高约 230 mm</x:v>
      </x:c>
      <x:c r="H23" s="17" t="str">
        <x:v>布衣穿脱、换假发、换眼</x:v>
      </x:c>
      <x:c r="I23" s="18" t="str">
        <x:v>塑料（未细分）、布料、磁铁</x:v>
      </x:c>
      <x:c r="J23" s="19" t="str">
        <x:v>角色人形</x:v>
      </x:c>
      <x:c r="K23" s="11" t="str">
        <x:v>Harmonia humming Hatsune Miku</x:v>
      </x:c>
      <x:c r="L23" s="11" t="str">
        <x:v>日本</x:v>
      </x:c>
      <x:c r="M23" s="11" t="str">
        <x:v>日本（鸟取 Lucky Factory）</x:v>
      </x:c>
      <x:c r="N23" s="11" t="str">
        <x:v>按所列来源的具体型号整理；不代表全部批次。</x:v>
      </x:c>
      <x:c r="O23" s="11" t="str">
        <x:v>高度 23 cm（官方人形全高约 230 mm）</x:v>
      </x:c>
      <x:c r="P23" s="11" t="str">
        <x:v>定制方式：角色专用假发、眼与衣装，可调整眼睛朝向，身体可动；这不代表全部跨品牌眼、假发均兼容。
制造与材料：官方注明日本制造，材料标为 plastic、cloth、magnets；没有进一步拆成 ABS 与 PVC。
尺寸口径：230 mm 为整个人形全高，与黏土人偶的无头素体高度不同。</x:v>
      </x:c>
      <x:c r="Q23" s="11" t="str">
        <x:v>未取得产品对应证据</x:v>
      </x:c>
      <x:c r="R23" s="11" t="str">
        <x:v>2026-10-05</x:v>
      </x:c>
      <x:c r="S23" s="11" t="str">
        <x:v>harmonia-miku</x:v>
      </x:c>
      <x:c r="T23" s="11" t="str">
        <x:v>https://www.goodsmile.com/en/product/9727/Harmonia%2Bhumming%2BHatsune%2BMiku</x:v>
      </x:c>
    </x:row>
    <x:row r="24" ht="110" customHeight="1">
      <x:c r="A24" s="11" t="str">
        <x:v>初音 · 第 100 次冒险</x:v>
      </x:c>
      <x:c r="B24" s="11" t="str">
        <x:v>Good Smile Company</x:v>
      </x:c>
      <x:c r="C24" s="12" t="str">
        <x:v>关节可动</x:v>
      </x:c>
      <x:c r="D24" s="13" t="str">
        <x:v>涂装成品</x:v>
      </x:c>
      <x:c r="E24" s="20" t="str">
        <x:v>无固定比例</x:v>
      </x:c>
      <x:c r="F24" s="21" t="n">
        <x:v>100</x:v>
      </x:c>
      <x:c r="G24" s="16" t="str">
        <x:v>官方人形全高约 100 mm</x:v>
      </x:c>
      <x:c r="H24" s="17" t="str">
        <x:v>换脸、硬质换件</x:v>
      </x:c>
      <x:c r="I24" s="18" t="str">
        <x:v>塑料（未细分）</x:v>
      </x:c>
      <x:c r="J24" s="19" t="str">
        <x:v>角色人形</x:v>
      </x:c>
      <x:c r="K24" s="11" t="str">
        <x:v>Nendoroid Hatsune Miku: 100th Adventure Ver.</x:v>
      </x:c>
      <x:c r="L24" s="11" t="str">
        <x:v>日本</x:v>
      </x:c>
      <x:c r="M24" s="11" t="str">
        <x:v>未披露</x:v>
      </x:c>
      <x:c r="N24" s="11" t="str">
        <x:v>按所列来源的具体型号整理；不代表全部批次。</x:v>
      </x:c>
      <x:c r="O24" s="11" t="str">
        <x:v>高度 10 cm（官方人形全高约 100 mm）</x:v>
      </x:c>
      <x:c r="P24" s="11" t="str">
        <x:v>服装方式：本条为普通黏土人，可用替换脸与造型配件；不当作布衣换装的黏土人偶素体。
尺寸口径：100 mm 是含头的人形全高，不能与约 100 mm 的 archetype 无头身体视为一样大。</x:v>
      </x:c>
      <x:c r="Q24" s="11" t="str">
        <x:v>官方产品页明确：2025-03-07 至 03-23「100th Nendoroid Miku Exhibition」销售本版本。</x:v>
      </x:c>
      <x:c r="R24" s="11" t="str">
        <x:v>2026-10-05</x:v>
      </x:c>
      <x:c r="S24" s="11" t="str">
        <x:v>nendoroid-miku-adventure</x:v>
      </x:c>
      <x:c r="T24" s="11" t="str">
        <x:v>https://www.goodsmile.com/en/product/60607/Nendoroid%2BHatsune%2BMiku%2B100th%2BAdventure%2BVer.</x:v>
      </x:c>
    </x:row>
    <x:row r="25" ht="110" customHeight="1">
      <x:c r="A25" s="11" t="str">
        <x:v>figma 初音未来 2.0</x:v>
      </x:c>
      <x:c r="B25" s="11" t="str">
        <x:v>Max Factory</x:v>
      </x:c>
      <x:c r="C25" s="12" t="str">
        <x:v>关节可动</x:v>
      </x:c>
      <x:c r="D25" s="13" t="str">
        <x:v>涂装成品</x:v>
      </x:c>
      <x:c r="E25" s="20" t="str">
        <x:v>无固定比例</x:v>
      </x:c>
      <x:c r="F25" s="21" t="n">
        <x:v>140</x:v>
      </x:c>
      <x:c r="G25" s="16" t="str">
        <x:v>官方人形全高约 140 mm</x:v>
      </x:c>
      <x:c r="H25" s="17" t="str">
        <x:v>换脸、换手、硬质换件</x:v>
      </x:c>
      <x:c r="I25" s="18" t="str">
        <x:v>ABS、PVC</x:v>
      </x:c>
      <x:c r="J25" s="19" t="str">
        <x:v>角色人形</x:v>
      </x:c>
      <x:c r="K25" s="11" t="str">
        <x:v>figma Hatsune Miku 2.0</x:v>
      </x:c>
      <x:c r="L25" s="11" t="str">
        <x:v>日本</x:v>
      </x:c>
      <x:c r="M25" s="11" t="str">
        <x:v>未披露</x:v>
      </x:c>
      <x:c r="N25" s="11" t="str">
        <x:v>按所列来源的具体型号整理；不代表全部批次。</x:v>
      </x:c>
      <x:c r="O25" s="11" t="str">
        <x:v>高度 14 cm（官方人形全高约 140 mm）</x:v>
      </x:c>
      <x:c r="P25" s="11" t="str">
        <x:v>可动与衣装：官方 figma 可动人形，软质部件与关节配合。记录脸与手等硬质替换件，没有将其等同布衣换装。
附件与站立：附麦克风／支架等角色附件及可动底座，140 mm 为本体全高。</x:v>
      </x:c>
      <x:c r="Q25" s="11" t="str">
        <x:v>未取得产品对应证据</x:v>
      </x:c>
      <x:c r="R25" s="11" t="str">
        <x:v>2026-10-05</x:v>
      </x:c>
      <x:c r="S25" s="11" t="str">
        <x:v>figma-miku-2</x:v>
      </x:c>
      <x:c r="T25" s="11" t="str">
        <x:v>https://www.goodsmile.com/en/product/1818/figma%2BHatsune%2BMiku%2B2.0</x:v>
      </x:c>
    </x:row>
    <x:row r="26" ht="110" customHeight="1">
      <x:c r="A26" s="11" t="str">
        <x:v>THE BATMAN · One:12</x:v>
      </x:c>
      <x:c r="B26" s="11" t="str">
        <x:v>Mezco Toyz</x:v>
      </x:c>
      <x:c r="C26" s="12" t="str">
        <x:v>关节可动、30+ 处可动</x:v>
      </x:c>
      <x:c r="D26" s="13" t="str">
        <x:v>成品含服</x:v>
      </x:c>
      <x:c r="E26" s="20" t="str">
        <x:v>比例 1:12</x:v>
      </x:c>
      <x:c r="F26" s="21" t="n">
        <x:v>170</x:v>
      </x:c>
      <x:c r="G26" s="16" t="str">
        <x:v>官方人形高约 17 cm</x:v>
      </x:c>
      <x:c r="H26" s="17" t="str">
        <x:v>可拆翼装、换头、换手</x:v>
      </x:c>
      <x:c r="I26" s="18" t="str">
        <x:v>材料未披露</x:v>
      </x:c>
      <x:c r="J26" s="19" t="str">
        <x:v>角色人形</x:v>
      </x:c>
      <x:c r="K26" s="11" t="str">
        <x:v>One:12 Collective The Batman</x:v>
      </x:c>
      <x:c r="L26" s="11" t="str">
        <x:v>美国</x:v>
      </x:c>
      <x:c r="M26" s="11" t="str">
        <x:v>未披露</x:v>
      </x:c>
      <x:c r="N26" s="11" t="str">
        <x:v>按所列来源的具体型号整理；不代表全部批次。</x:v>
      </x:c>
      <x:c r="O26" s="11" t="str">
        <x:v>高度 17 cm（官方人形高约 17 cm）</x:v>
      </x:c>
      <x:c r="P26" s="11" t="str">
        <x:v>可动与服装：官方描述 30 多处可动，披风带摆姿用内部线材，并附可拆翼装；披风线材不等于人体内部骨架。
交付内容：附四款头、十三只替换手和武器等附件。衣服存在独立服装效果，但未据此断言整套战衣均可无损脱下。
尺寸关系：厂商同时标明 1:12 与约 17 cm；两者分别记录，不从比例反推身高。</x:v>
      </x:c>
      <x:c r="Q26" s="11" t="str">
        <x:v>未取得产品对应证据</x:v>
      </x:c>
      <x:c r="R26" s="11" t="str">
        <x:v>2026-10-05</x:v>
      </x:c>
      <x:c r="S26" s="11" t="str">
        <x:v>mezco-the-batman</x:v>
      </x:c>
      <x:c r="T26" s="11" t="str">
        <x:v>https://www.mezcotoyz.com/one-12-collective-the-batman</x:v>
      </x:c>
    </x:row>
    <x:row r="27" ht="110" customHeight="1">
      <x:c r="A27" s="11" t="str">
        <x:v>孙悟空 · BEST SELECTION</x:v>
      </x:c>
      <x:c r="B27" s="11" t="str">
        <x:v>BANDAI SPIRITS</x:v>
      </x:c>
      <x:c r="C27" s="12" t="str">
        <x:v>关节可动</x:v>
      </x:c>
      <x:c r="D27" s="13" t="str">
        <x:v>涂装成品</x:v>
      </x:c>
      <x:c r="E27" s="20" t="str">
        <x:v>未披露</x:v>
      </x:c>
      <x:c r="F27" s="21"/>
      <x:c r="G27" s="16" t="str">
        <x:v>未披露</x:v>
      </x:c>
      <x:c r="H27" s="17" t="str">
        <x:v>换脸、换手</x:v>
      </x:c>
      <x:c r="I27" s="18" t="str">
        <x:v>材料未披露</x:v>
      </x:c>
      <x:c r="J27" s="19" t="str">
        <x:v>角色人形</x:v>
      </x:c>
      <x:c r="K27" s="11" t="str">
        <x:v>S.H.Figuarts Super Saiyan Son Goku — Legendary Super Saiyan [BEST SELECTION]</x:v>
      </x:c>
      <x:c r="L27" s="11" t="str">
        <x:v>日本</x:v>
      </x:c>
      <x:c r="M27" s="11" t="str">
        <x:v>未披露</x:v>
      </x:c>
      <x:c r="N27" s="11" t="str">
        <x:v>按所列来源的具体型号整理；不代表全部批次。</x:v>
      </x:c>
      <x:c r="O27" s="11" t="str">
        <x:v>未披露</x:v>
      </x:c>
      <x:c r="P27" s="11" t="str">
        <x:v>版本边界：本条为 BEST SELECTION，对应官方 item 15303；不是配件更多的原版。
资料缺口：本次访问官方页未得到完整尺寸材料表，未采用不同经销商互相冲突的 14／14.5／15 cm 高度。
展会证据：官网的“相关活动”推荐不证明本件在该活动中展出；因此未直接赋予 TAMASHII NATION 标签。</x:v>
      </x:c>
      <x:c r="Q27" s="11" t="str">
        <x:v>未取得产品对应证据</x:v>
      </x:c>
      <x:c r="R27" s="11" t="str">
        <x:v>2026-10-05</x:v>
      </x:c>
      <x:c r="S27" s="11" t="str">
        <x:v>shf-goku-best</x:v>
      </x:c>
      <x:c r="T27" s="11" t="str">
        <x:v>https://tamashiiweb.com/item/15303/?wovn=zh-CHS</x:v>
      </x:c>
    </x:row>
    <x:row r="28" ht="110" customHeight="1">
      <x:c r="A28" s="11" t="str">
        <x:v>DRESS UP BODY · S</x:v>
      </x:c>
      <x:c r="B28" s="11" t="str">
        <x:v>KOTOBUKIYA</x:v>
      </x:c>
      <x:c r="C28" s="12" t="str">
        <x:v>关节可动</x:v>
      </x:c>
      <x:c r="D28" s="13" t="str">
        <x:v>待拼装</x:v>
      </x:c>
      <x:c r="E28" s="20" t="str">
        <x:v>比例 1:10</x:v>
      </x:c>
      <x:c r="F28" s="21" t="n">
        <x:v>121</x:v>
      </x:c>
      <x:c r="G28" s="16" t="str">
        <x:v>官方身体高 121 mm，不含另配头</x:v>
      </x:c>
      <x:c r="H28" s="17" t="str">
        <x:v>布衣穿脱、硬质换件、头部适配器</x:v>
      </x:c>
      <x:c r="I28" s="18" t="str">
        <x:v>PVC、ABS、POM</x:v>
      </x:c>
      <x:c r="J28" s="19" t="str">
        <x:v>素体</x:v>
      </x:c>
      <x:c r="K28" s="11" t="str">
        <x:v>DRESS UP BODY [S] / JK016</x:v>
      </x:c>
      <x:c r="L28" s="11" t="str">
        <x:v>日本</x:v>
      </x:c>
      <x:c r="M28" s="11" t="str">
        <x:v>未披露</x:v>
      </x:c>
      <x:c r="N28" s="11" t="str">
        <x:v>按所列来源的具体型号整理；不代表全部批次。</x:v>
      </x:c>
      <x:c r="O28" s="11" t="str">
        <x:v>素体 12.1 cm（不含头）
含头约 14 cm（官方示例装头后高度，依头部而变）</x:v>
      </x:c>
      <x:c r="P28" s="11" t="str">
        <x:v>商品组成：家居服体与内衣体两具素体，无头。可用所附替换胸部与连接配件配置。
衣服适配：官方按约 14 cm 人形与 Tiny Closet 衣装给出推荐，不保证不同设计的所有同高衣服适配。
尺寸口径：121 mm 为身体规格；装头后的示例约 140 mm 分开列出。</x:v>
      </x:c>
      <x:c r="Q28" s="11" t="str">
        <x:v>未取得产品对应证据</x:v>
      </x:c>
      <x:c r="R28" s="11" t="str">
        <x:v>2026-10-05</x:v>
      </x:c>
      <x:c r="S28" s="11" t="str">
        <x:v>sousai-dress-up-s</x:v>
      </x:c>
      <x:c r="T28" s="11" t="str">
        <x:v>https://www.kotobukiya.co.jp/en/product/detail/p4934054030910/</x:v>
      </x:c>
    </x:row>
    <x:row r="29" ht="110" customHeight="1">
      <x:c r="A29" s="11" t="str">
        <x:v>朱罗忍者 · 拼装版</x:v>
      </x:c>
      <x:c r="B29" s="11" t="str">
        <x:v>KOTOBUKIYA</x:v>
      </x:c>
      <x:c r="C29" s="12" t="str">
        <x:v>关节可动</x:v>
      </x:c>
      <x:c r="D29" s="13" t="str">
        <x:v>待拼装</x:v>
      </x:c>
      <x:c r="E29" s="20" t="str">
        <x:v>比例 1:1</x:v>
      </x:c>
      <x:c r="F29" s="21" t="n">
        <x:v>140</x:v>
      </x:c>
      <x:c r="G29" s="16" t="str">
        <x:v>官方拼装完成全高约 140 mm</x:v>
      </x:c>
      <x:c r="H29" s="17" t="str">
        <x:v>硬质换件、换脸</x:v>
      </x:c>
      <x:c r="I29" s="18" t="str">
        <x:v>PS、ABS、POM、PVC</x:v>
      </x:c>
      <x:c r="J29" s="19" t="str">
        <x:v>角色人形</x:v>
      </x:c>
      <x:c r="K29" s="11" t="str">
        <x:v>MEGAMI DEVICE ASRA NINJA / KP431X</x:v>
      </x:c>
      <x:c r="L29" s="11" t="str">
        <x:v>日本</x:v>
      </x:c>
      <x:c r="M29" s="11" t="str">
        <x:v>未披露</x:v>
      </x:c>
      <x:c r="N29" s="11" t="str">
        <x:v>按所列来源的具体型号整理；不代表全部批次。</x:v>
      </x:c>
      <x:c r="O29" s="11" t="str">
        <x:v>高度 14 cm（官方拼装完成全高约 140 mm）</x:v>
      </x:c>
      <x:c r="P29" s="11" t="str">
        <x:v>比例的对象：女神装置世界观中的约 14 cm 机器人，以设定人偶自身为 1:1；不表示真人等高。
可动与组装：需自行拼装；预涂装脸与武装／素体模式替换件不等于整体成品。
连接与适配：官方说明部分配件可与 ASRA 弓兵组合，并有 3 mm 接口；只保留其说明范围内的连接兼容。</x:v>
      </x:c>
      <x:c r="Q29" s="11" t="str">
        <x:v>未取得产品对应证据</x:v>
      </x:c>
      <x:c r="R29" s="11" t="str">
        <x:v>2026-10-05</x:v>
      </x:c>
      <x:c r="S29" s="11" t="str">
        <x:v>megami-asra-ninja-kit</x:v>
      </x:c>
      <x:c r="T29" s="11" t="str">
        <x:v>https://www.kotobukiya.co.jp/en/product/detail/p4934054063208/</x:v>
      </x:c>
    </x:row>
    <x:row r="30" ht="110" customHeight="1">
      <x:c r="A30" s="11" t="str">
        <x:v>朱罗忍者 · 静态版</x:v>
      </x:c>
      <x:c r="B30" s="11" t="str">
        <x:v>KOTOBUKIYA</x:v>
      </x:c>
      <x:c r="C30" s="12" t="str">
        <x:v>固定姿势</x:v>
      </x:c>
      <x:c r="D30" s="13" t="str">
        <x:v>涂装成品</x:v>
      </x:c>
      <x:c r="E30" s="20" t="str">
        <x:v>比例 2:1</x:v>
      </x:c>
      <x:c r="F30" s="21" t="n">
        <x:v>280</x:v>
      </x:c>
      <x:c r="G30" s="16" t="str">
        <x:v>官方成品全高约 280 mm</x:v>
      </x:c>
      <x:c r="H30" s="17" t="str">
        <x:v>硬质换件、换脸</x:v>
      </x:c>
      <x:c r="I30" s="18" t="str">
        <x:v>PVC、ABS</x:v>
      </x:c>
      <x:c r="J30" s="19" t="str">
        <x:v>静态手办</x:v>
      </x:c>
      <x:c r="K30" s="11" t="str">
        <x:v>MEGAMI DEVICE ASRA NINJA / PP956</x:v>
      </x:c>
      <x:c r="L30" s="11" t="str">
        <x:v>日本</x:v>
      </x:c>
      <x:c r="M30" s="11" t="str">
        <x:v>未披露</x:v>
      </x:c>
      <x:c r="N30" s="11" t="str">
        <x:v>按所列来源的具体型号整理；不代表全部批次。</x:v>
      </x:c>
      <x:c r="O30" s="11" t="str">
        <x:v>高度 28 cm（官方成品全高约 280 mm）</x:v>
      </x:c>
      <x:c r="P30" s="11" t="str">
        <x:v>比例的对象：以女神装置的约 14 cm 设定人偶为基准的 2:1，不是现实人体的两倍大小。
固定与换件：主体为静态涂装成品；附用于另一躺姿展示的替换部件和脸部。能换件并不代表拥有可动关节。
同名不同物：与 ASRA NINJA 拼装版分开记录，避免因角色同名而合并交付形态。</x:v>
      </x:c>
      <x:c r="Q30" s="11" t="str">
        <x:v>未取得产品对应证据</x:v>
      </x:c>
      <x:c r="R30" s="11" t="str">
        <x:v>2026-10-05</x:v>
      </x:c>
      <x:c r="S30" s="11" t="str">
        <x:v>megami-asra-ninja-statue</x:v>
      </x:c>
      <x:c r="T30" s="11" t="str">
        <x:v>https://www.kotobukiya.co.jp/en/product/detail/p4934054032112/</x:v>
      </x:c>
    </x:row>
    <x:row r="31" ht="110" customHeight="1">
      <x:c r="A31" s="11" t="str">
        <x:v>露米蒂亚 · AR001</x:v>
      </x:c>
      <x:c r="B31" s="11" t="str">
        <x:v>KOTOBUKIYA</x:v>
      </x:c>
      <x:c r="C31" s="12" t="str">
        <x:v>关节可动</x:v>
      </x:c>
      <x:c r="D31" s="13" t="str">
        <x:v>待拼装</x:v>
      </x:c>
      <x:c r="E31" s="20" t="str">
        <x:v>无固定比例</x:v>
      </x:c>
      <x:c r="F31" s="21" t="n">
        <x:v>170</x:v>
      </x:c>
      <x:c r="G31" s="16" t="str">
        <x:v>官方拼装完成全高约 170 mm</x:v>
      </x:c>
      <x:c r="H31" s="17" t="str">
        <x:v>硬质换件、换脸</x:v>
      </x:c>
      <x:c r="I31" s="18" t="str">
        <x:v>PS、ABS、POM、PVC</x:v>
      </x:c>
      <x:c r="J31" s="19" t="str">
        <x:v>角色人形</x:v>
      </x:c>
      <x:c r="K31" s="11" t="str">
        <x:v>ARCANADEA LUMITEA / AR001</x:v>
      </x:c>
      <x:c r="L31" s="11" t="str">
        <x:v>日本</x:v>
      </x:c>
      <x:c r="M31" s="11" t="str">
        <x:v>未披露</x:v>
      </x:c>
      <x:c r="N31" s="11" t="str">
        <x:v>按所列来源的具体型号整理；不代表全部批次。</x:v>
      </x:c>
      <x:c r="O31" s="11" t="str">
        <x:v>高度 17 cm（官方拼装完成全高约 170 mm）</x:v>
      </x:c>
      <x:c r="P31" s="11" t="str">
        <x:v>模式与交付：本体需拼装，可通过替换件组成 Normal／Wilize 两种模式；预涂脸不是整体涂装完成。
接口：采用 3 mm 连接孔与寿屋相关系列配件组合；保留官方所述范围，不标成所有人形通用。</x:v>
      </x:c>
      <x:c r="Q31" s="11" t="str">
        <x:v>未取得产品对应证据</x:v>
      </x:c>
      <x:c r="R31" s="11" t="str">
        <x:v>2026-10-05</x:v>
      </x:c>
      <x:c r="S31" s="11" t="str">
        <x:v>arcanadea-lumitea</x:v>
      </x:c>
      <x:c r="T31" s="11" t="str">
        <x:v>https://www.kotobukiya.co.jp/en/product/detail/p4934054038190/</x:v>
      </x:c>
    </x:row>
    <x:row r="32" ht="110" customHeight="1">
      <x:c r="A32" s="11" t="str">
        <x:v>きるプラ 结城圆 · 冬服</x:v>
      </x:c>
      <x:c r="B32" s="11" t="str">
        <x:v>KOTOBUKIYA</x:v>
      </x:c>
      <x:c r="C32" s="12" t="str">
        <x:v>关节可动</x:v>
      </x:c>
      <x:c r="D32" s="13" t="str">
        <x:v>待拼装、计划商品</x:v>
      </x:c>
      <x:c r="E32" s="20" t="str">
        <x:v>比例 1:10</x:v>
      </x:c>
      <x:c r="F32" s="21" t="n">
        <x:v>150</x:v>
      </x:c>
      <x:c r="G32" s="16" t="str">
        <x:v>官方商品规格约 150 mm</x:v>
      </x:c>
      <x:c r="H32" s="17" t="str">
        <x:v>布衣穿脱、换脸、换发型</x:v>
      </x:c>
      <x:c r="I32" s="18" t="str">
        <x:v>PS、ABS、POM、PVC、棉布、聚酯纤维</x:v>
      </x:c>
      <x:c r="J32" s="19" t="str">
        <x:v>角色人形</x:v>
      </x:c>
      <x:c r="K32" s="11" t="str">
        <x:v>KiruPla Madoka Yuki [Touou High School Winter Clothes] / JK102</x:v>
      </x:c>
      <x:c r="L32" s="11" t="str">
        <x:v>日本</x:v>
      </x:c>
      <x:c r="M32" s="11" t="str">
        <x:v>未披露</x:v>
      </x:c>
      <x:c r="N32" s="11" t="str">
        <x:v>2026-10-05 核对时，官方日本商店计划 2026 年 12 月发售；记录的是计划规格。</x:v>
      </x:c>
      <x:c r="O32" s="11" t="str">
        <x:v>高度 15 cm（官方商品规格约 150 mm）</x:v>
      </x:c>
      <x:c r="P32" s="11" t="str">
        <x:v>交付组成：塑料人形本体需要拼装，搭配布制冬季校服。人形、布衣在同一套装里，但交付步骤不同。
计划状态：官方商店标注 2026 年 12 月。本条保留计划商品标签，不能当成已发售商品或用户实测。
定制方式：附多种头发造型与脸部；棉／聚酯属于衣装材料，与身体塑料区分。</x:v>
      </x:c>
      <x:c r="Q32" s="11" t="str">
        <x:v>未取得产品对应证据</x:v>
      </x:c>
      <x:c r="R32" s="11" t="str">
        <x:v>2026-10-05</x:v>
      </x:c>
      <x:c r="S32" s="11" t="str">
        <x:v>kirupla-madoka-winter</x:v>
      </x:c>
      <x:c r="T32" s="11" t="str">
        <x:v>https://kotobukiya-us.com/products/190526079779</x:v>
      </x:c>
    </x:row>
    <x:row r="33" ht="110" customHeight="1">
      <x:c r="A33" s="11" t="str">
        <x:v>POP UP PARADE 初音</x:v>
      </x:c>
      <x:c r="B33" s="11" t="str">
        <x:v>Good Smile Company</x:v>
      </x:c>
      <x:c r="C33" s="12" t="str">
        <x:v>固定姿势</x:v>
      </x:c>
      <x:c r="D33" s="13" t="str">
        <x:v>涂装成品</x:v>
      </x:c>
      <x:c r="E33" s="20" t="str">
        <x:v>无固定比例</x:v>
      </x:c>
      <x:c r="F33" s="21" t="n">
        <x:v>170</x:v>
      </x:c>
      <x:c r="G33" s="16" t="str">
        <x:v>官方人形成品全高约 170 mm</x:v>
      </x:c>
      <x:c r="H33" s="17" t="str">
        <x:v>换装未说明</x:v>
      </x:c>
      <x:c r="I33" s="18" t="str">
        <x:v>ABS、PVC</x:v>
      </x:c>
      <x:c r="J33" s="19" t="str">
        <x:v>静态手办</x:v>
      </x:c>
      <x:c r="K33" s="11" t="str">
        <x:v>POP UP PARADE Hatsune Miku（原版）</x:v>
      </x:c>
      <x:c r="L33" s="11" t="str">
        <x:v>日本</x:v>
      </x:c>
      <x:c r="M33" s="11" t="str">
        <x:v>未披露</x:v>
      </x:c>
      <x:c r="N33" s="11" t="str">
        <x:v>按所列来源的具体型号整理；不代表全部批次。</x:v>
      </x:c>
      <x:c r="O33" s="11" t="str">
        <x:v>高度 17 cm（官方人形成品全高约 170 mm）</x:v>
      </x:c>
      <x:c r="P33" s="11" t="str">
        <x:v>对象类型：静态涂装完成品，附专用底座；没有把系列其他尺寸的高度合入本条。
记录范围：原版产品及其再贩；未找到可动或可换布衣的官方说明。</x:v>
      </x:c>
      <x:c r="Q33" s="11" t="str">
        <x:v>未取得产品对应证据</x:v>
      </x:c>
      <x:c r="R33" s="11" t="str">
        <x:v>2026-10-05</x:v>
      </x:c>
      <x:c r="S33" s="11" t="str">
        <x:v>pop-miku-original</x:v>
      </x:c>
      <x:c r="T33" s="11" t="str">
        <x:v>https://www.goodsmile.com/en/product/5775/POP%2BUP%2BPARADE%2BHatsune%2BMiku</x:v>
      </x:c>
    </x:row>
    <x:row r="34" ht="110" customHeight="1">
      <x:c r="A34" s="11" t="str">
        <x:v>POP 初音 · 透明色 L</x:v>
      </x:c>
      <x:c r="B34" s="11" t="str">
        <x:v>Good Smile Company</x:v>
      </x:c>
      <x:c r="C34" s="12" t="str">
        <x:v>固定姿势</x:v>
      </x:c>
      <x:c r="D34" s="13" t="str">
        <x:v>涂装成品</x:v>
      </x:c>
      <x:c r="E34" s="20" t="str">
        <x:v>无固定比例</x:v>
      </x:c>
      <x:c r="F34" s="21" t="n">
        <x:v>240</x:v>
      </x:c>
      <x:c r="G34" s="16" t="str">
        <x:v>官方成品全高约 240 mm</x:v>
      </x:c>
      <x:c r="H34" s="17" t="str">
        <x:v>换装未说明</x:v>
      </x:c>
      <x:c r="I34" s="18" t="str">
        <x:v>塑料（未细分）</x:v>
      </x:c>
      <x:c r="J34" s="19" t="str">
        <x:v>静态手办</x:v>
      </x:c>
      <x:c r="K34" s="11" t="str">
        <x:v>POP UP PARADE Hatsune Miku: Because You’re Here — Translucent Color Ver. L Size</x:v>
      </x:c>
      <x:c r="L34" s="11" t="str">
        <x:v>日本</x:v>
      </x:c>
      <x:c r="M34" s="11" t="str">
        <x:v>未披露</x:v>
      </x:c>
      <x:c r="N34" s="11" t="str">
        <x:v>按所列来源的具体型号整理；不代表全部批次。</x:v>
      </x:c>
      <x:c r="O34" s="11" t="str">
        <x:v>高度 24 cm（官方成品全高约 240 mm）</x:v>
      </x:c>
      <x:c r="P34" s="11" t="str">
        <x:v>选定版本：Because You’re Here 的透明色 L Size。它与 170 mm 的原版 POP 初音是不同产品，外观、尺寸与销售记录单独保留。
展示方式：涂装完成静态人形及底座，未取得可动或换装说明。</x:v>
      </x:c>
      <x:c r="Q34" s="11" t="str">
        <x:v>官方产品页明确：Smile Fest 2025 会场商品，2025-06-14 发售。</x:v>
      </x:c>
      <x:c r="R34" s="11" t="str">
        <x:v>2026-10-05</x:v>
      </x:c>
      <x:c r="S34" s="11" t="str">
        <x:v>pop-miku-translucent-l</x:v>
      </x:c>
      <x:c r="T34" s="11" t="str">
        <x:v>https://www.goodsmile.com/en/product/1137555/POP%2BUP%2BPARADE%2BHatsune%2BMiku%2BBecause%2BYou%2Bre%2BHere%2B-%2BTranslucent%2BColor%2BVer.%2BL%2BSize</x:v>
      </x:c>
    </x:row>
    <x:row r="35" ht="110" customHeight="1">
      <x:c r="A35" s="11" t="str">
        <x:v>爱丽丝 · 衣装套件</x:v>
      </x:c>
      <x:c r="B35" s="11" t="str">
        <x:v>Good Smile Company</x:v>
      </x:c>
      <x:c r="C35" s="12" t="str">
        <x:v>不适用</x:v>
      </x:c>
      <x:c r="D35" s="13" t="str">
        <x:v>服装成品</x:v>
      </x:c>
      <x:c r="E35" s="20" t="str">
        <x:v>不适用</x:v>
      </x:c>
      <x:c r="F35" s="21"/>
      <x:c r="G35" s="16" t="str">
        <x:v>不适用</x:v>
      </x:c>
      <x:c r="H35" s="17" t="str">
        <x:v>布衣穿脱</x:v>
      </x:c>
      <x:c r="I35" s="18" t="str">
        <x:v>棉布、聚酯纤维</x:v>
      </x:c>
      <x:c r="J35" s="19" t="str">
        <x:v>服装配套</x:v>
      </x:c>
      <x:c r="K35" s="11" t="str">
        <x:v>Nendoroid Doll Outfit Set: Alice</x:v>
      </x:c>
      <x:c r="L35" s="11" t="str">
        <x:v>日本</x:v>
      </x:c>
      <x:c r="M35" s="11" t="str">
        <x:v>未披露</x:v>
      </x:c>
      <x:c r="N35" s="11" t="str">
        <x:v>按所列来源的具体型号整理；不代表全部批次。</x:v>
      </x:c>
      <x:c r="O35" s="11" t="str">
        <x:v>不适用</x:v>
      </x:c>
      <x:c r="P35" s="11" t="str">
        <x:v>没有人形：本商品只有爱丽丝衣装及鞋等配套物，不含黏土人偶；结构、身高与人形比例不适用。
适配限制：面向黏土人偶系列，但官方提示部分具体商品可能无法正确适配。不能用“黏土人偶”名称保证所有头身版本通用。</x:v>
      </x:c>
      <x:c r="Q35" s="11" t="str">
        <x:v>未取得产品对应证据</x:v>
      </x:c>
      <x:c r="R35" s="11" t="str">
        <x:v>2026-10-05</x:v>
      </x:c>
      <x:c r="S35" s="11" t="str">
        <x:v>nendoll-alice-outfit</x:v>
      </x:c>
      <x:c r="T35" s="11" t="str">
        <x:v>https://www.goodsmile.com/en/product/5338/Nendoroid%2BDoll%2BOutfit%2BSet%2BAlice%2B</x:v>
      </x:c>
    </x:row>
    <x:row r="36" ht="110" customHeight="1">
      <x:c r="A36" s="11" t="str">
        <x:v>CCSgirl 26SS ruruko PS</x:v>
      </x:c>
      <x:c r="B36" s="11" t="str">
        <x:v>PetWORKs</x:v>
      </x:c>
      <x:c r="C36" s="12" t="str">
        <x:v>关节可动</x:v>
      </x:c>
      <x:c r="D36" s="13" t="str">
        <x:v>成品含服</x:v>
      </x:c>
      <x:c r="E36" s="20" t="str">
        <x:v>未披露</x:v>
      </x:c>
      <x:c r="F36" s="21" t="n">
        <x:v>220</x:v>
      </x:c>
      <x:c r="G36" s="16" t="str">
        <x:v>官方本款全高约值（含头）</x:v>
      </x:c>
      <x:c r="H36" s="17" t="str">
        <x:v>布衣穿脱</x:v>
      </x:c>
      <x:c r="I36" s="18" t="str">
        <x:v>PVC、ABS、布料</x:v>
      </x:c>
      <x:c r="J36" s="19" t="str">
        <x:v>原创人偶</x:v>
      </x:c>
      <x:c r="K36" s="11" t="str">
        <x:v>CCSgirl 26SS ruruko PS</x:v>
      </x:c>
      <x:c r="L36" s="11" t="str">
        <x:v>日本</x:v>
      </x:c>
      <x:c r="M36" s="11" t="str">
        <x:v>MADE IN JAPAN（ボディと衣装は中国製です）</x:v>
      </x:c>
      <x:c r="N36" s="11" t="str">
        <x:v>官方独立商品页所列版本；PS／Azone 等限定版本分别记录。</x:v>
      </x:c>
      <x:c r="O36" s="11" t="str">
        <x:v>高度 22 cm（官方本款全高约值（含头））</x:v>
      </x:c>
      <x:c r="P36" s="11" t="str">
        <x:v>使用素体：PW別注ピュアニーモフレクションXS/フル可動
本款内容：ruruko本体、クラッシュボーダーニットワンピ、ショーツ、スエードリングチョーカー、チェーンラリエット、ミニ安全ピン2本、エンジニアブーツ（STOC）。
生产与保养口径：来源按本款注明本体、身体及衣装的产地分别保留。深色服装可能移色，拆装部件应遵循页面注意事项；不同批次不共用产地结论。</x:v>
      </x:c>
      <x:c r="Q36" s="11" t="str">
        <x:v>未取得产品对应证据</x:v>
      </x:c>
      <x:c r="R36" s="11" t="str">
        <x:v>2026-10-05</x:v>
      </x:c>
      <x:c r="S36" s="11" t="str">
        <x:v>ruruko-11176</x:v>
      </x:c>
      <x:c r="T36" s="11" t="str">
        <x:v>https://www.petworks.co.jp/doll/ruruko/11176/</x:v>
      </x:c>
    </x:row>
    <x:row r="37" ht="110" customHeight="1">
      <x:c r="A37" s="11" t="str">
        <x:v>タータンバニー ruruko</x:v>
      </x:c>
      <x:c r="B37" s="11" t="str">
        <x:v>PetWORKs</x:v>
      </x:c>
      <x:c r="C37" s="12" t="str">
        <x:v>关节可动</x:v>
      </x:c>
      <x:c r="D37" s="13" t="str">
        <x:v>成品含服</x:v>
      </x:c>
      <x:c r="E37" s="20" t="str">
        <x:v>未披露</x:v>
      </x:c>
      <x:c r="F37" s="21" t="n">
        <x:v>220</x:v>
      </x:c>
      <x:c r="G37" s="16" t="str">
        <x:v>官方本款全高约值（含头）</x:v>
      </x:c>
      <x:c r="H37" s="17" t="str">
        <x:v>布衣穿脱</x:v>
      </x:c>
      <x:c r="I37" s="18" t="str">
        <x:v>PVC、ABS、布料</x:v>
      </x:c>
      <x:c r="J37" s="19" t="str">
        <x:v>原创人偶</x:v>
      </x:c>
      <x:c r="K37" s="11" t="str">
        <x:v>タータンバニー ruruko</x:v>
      </x:c>
      <x:c r="L37" s="11" t="str">
        <x:v>日本</x:v>
      </x:c>
      <x:c r="M37" s="11" t="str">
        <x:v>MADE IN JAPAN（ボディは中国製、衣装はベトナム製です）</x:v>
      </x:c>
      <x:c r="N37" s="11" t="str">
        <x:v>官方独立商品页所列版本；PS／Azone 等限定版本分别记录。</x:v>
      </x:c>
      <x:c r="O37" s="11" t="str">
        <x:v>高度 22 cm（官方本款全高约值（含头））</x:v>
      </x:c>
      <x:c r="P37" s="11" t="str">
        <x:v>使用素体：PW別注ピュアニーモフレクションXS/フル可動
本款内容：ruruko本体、タータンチェックワンピース、チュールエプロン、うさ耳ヘッドドレス、フリルかぼちゃパンツ、うさぎぬいぐるみチャーム、レースアップミドルブーツ。
生产与保养口径：来源按本款注明本体、身体及衣装的产地分别保留。深色服装可能移色，拆装部件应遵循页面注意事项；不同批次不共用产地结论。</x:v>
      </x:c>
      <x:c r="Q37" s="11" t="str">
        <x:v>未取得产品对应证据</x:v>
      </x:c>
      <x:c r="R37" s="11" t="str">
        <x:v>2026-10-05</x:v>
      </x:c>
      <x:c r="S37" s="11" t="str">
        <x:v>ruruko-11148</x:v>
      </x:c>
      <x:c r="T37" s="11" t="str">
        <x:v>https://www.petworks.co.jp/doll/ruruko/11148/</x:v>
      </x:c>
    </x:row>
    <x:row r="38" ht="110" customHeight="1">
      <x:c r="A38" s="11" t="str">
        <x:v>朝霧のruruko PS</x:v>
      </x:c>
      <x:c r="B38" s="11" t="str">
        <x:v>PetWORKs</x:v>
      </x:c>
      <x:c r="C38" s="12" t="str">
        <x:v>关节可动</x:v>
      </x:c>
      <x:c r="D38" s="13" t="str">
        <x:v>成品含服</x:v>
      </x:c>
      <x:c r="E38" s="20" t="str">
        <x:v>未披露</x:v>
      </x:c>
      <x:c r="F38" s="21" t="n">
        <x:v>220</x:v>
      </x:c>
      <x:c r="G38" s="16" t="str">
        <x:v>官方本款全高约值（含头）</x:v>
      </x:c>
      <x:c r="H38" s="17" t="str">
        <x:v>布衣穿脱</x:v>
      </x:c>
      <x:c r="I38" s="18" t="str">
        <x:v>PVC、ABS、布料</x:v>
      </x:c>
      <x:c r="J38" s="19" t="str">
        <x:v>原创人偶</x:v>
      </x:c>
      <x:c r="K38" s="11" t="str">
        <x:v>朝霧のruruko PS</x:v>
      </x:c>
      <x:c r="L38" s="11" t="str">
        <x:v>日本</x:v>
      </x:c>
      <x:c r="M38" s="11" t="str">
        <x:v>MADE IN JAPAN（ボディは中国製、衣装はベトナム製です）</x:v>
      </x:c>
      <x:c r="N38" s="11" t="str">
        <x:v>官方独立商品页所列版本；PS／Azone 等限定版本分别记录。</x:v>
      </x:c>
      <x:c r="O38" s="11" t="str">
        <x:v>高度 22 cm（官方本款全高约值（含头））</x:v>
      </x:c>
      <x:c r="P38" s="11" t="str">
        <x:v>使用素体：PW別注ピュアニーモフレクションXS/フル可動
本款内容：ruruko本体、コルセット、ワンピース、パフパンツ、角カチューシャ、エンジニアブーツ（STOC）。
生产与保养口径：来源按本款注明本体、身体及衣装的产地分别保留。深色服装可能移色，拆装部件应遵循页面注意事项；不同批次不共用产地结论。</x:v>
      </x:c>
      <x:c r="Q38" s="11" t="str">
        <x:v>未取得产品对应证据</x:v>
      </x:c>
      <x:c r="R38" s="11" t="str">
        <x:v>2026-10-05</x:v>
      </x:c>
      <x:c r="S38" s="11" t="str">
        <x:v>ruruko-11133</x:v>
      </x:c>
      <x:c r="T38" s="11" t="str">
        <x:v>https://www.petworks.co.jp/doll/ruruko/11133/</x:v>
      </x:c>
    </x:row>
    <x:row r="39" ht="110" customHeight="1">
      <x:c r="A39" s="11" t="str">
        <x:v>Fresh ruruko 26AZ</x:v>
      </x:c>
      <x:c r="B39" s="11" t="str">
        <x:v>PetWORKs</x:v>
      </x:c>
      <x:c r="C39" s="12" t="str">
        <x:v>关节可动</x:v>
      </x:c>
      <x:c r="D39" s="13" t="str">
        <x:v>成品含服</x:v>
      </x:c>
      <x:c r="E39" s="20" t="str">
        <x:v>未披露</x:v>
      </x:c>
      <x:c r="F39" s="21" t="n">
        <x:v>220</x:v>
      </x:c>
      <x:c r="G39" s="16" t="str">
        <x:v>官方本款全高约值（含头）</x:v>
      </x:c>
      <x:c r="H39" s="17" t="str">
        <x:v>布衣穿脱</x:v>
      </x:c>
      <x:c r="I39" s="18" t="str">
        <x:v>PVC、ABS、布料</x:v>
      </x:c>
      <x:c r="J39" s="19" t="str">
        <x:v>原创人偶</x:v>
      </x:c>
      <x:c r="K39" s="11" t="str">
        <x:v>Fresh ruruko 26AZ</x:v>
      </x:c>
      <x:c r="L39" s="11" t="str">
        <x:v>日本</x:v>
      </x:c>
      <x:c r="M39" s="11" t="str">
        <x:v>MADE IN JAPAN（ボディと衣装は中国製です）</x:v>
      </x:c>
      <x:c r="N39" s="11" t="str">
        <x:v>官方独立商品页所列版本；PS／Azone 等限定版本分别记录。</x:v>
      </x:c>
      <x:c r="O39" s="11" t="str">
        <x:v>高度 22 cm（官方本款全高约值（含头））</x:v>
      </x:c>
      <x:c r="P39" s="11" t="str">
        <x:v>使用素体：PW別注ピュアニーモフレクションXS/フル可動
本款内容：ruruko本体、オールインワン。
生产与保养口径：来源按本款注明本体、身体及衣装的产地分别保留。深色服装可能移色，拆装部件应遵循页面注意事项；不同批次不共用产地结论。</x:v>
      </x:c>
      <x:c r="Q39" s="11" t="str">
        <x:v>未取得产品对应证据</x:v>
      </x:c>
      <x:c r="R39" s="11" t="str">
        <x:v>2026-10-05</x:v>
      </x:c>
      <x:c r="S39" s="11" t="str">
        <x:v>ruruko-11121</x:v>
      </x:c>
      <x:c r="T39" s="11" t="str">
        <x:v>https://www.petworks.co.jp/doll/ruruko/11121/</x:v>
      </x:c>
    </x:row>
    <x:row r="40" ht="110" customHeight="1">
      <x:c r="A40" s="11" t="str">
        <x:v>Fresh ruruko 26HB</x:v>
      </x:c>
      <x:c r="B40" s="11" t="str">
        <x:v>PetWORKs</x:v>
      </x:c>
      <x:c r="C40" s="12" t="str">
        <x:v>关节可动</x:v>
      </x:c>
      <x:c r="D40" s="13" t="str">
        <x:v>成品含服</x:v>
      </x:c>
      <x:c r="E40" s="20" t="str">
        <x:v>未披露</x:v>
      </x:c>
      <x:c r="F40" s="21" t="n">
        <x:v>220</x:v>
      </x:c>
      <x:c r="G40" s="16" t="str">
        <x:v>官方本款全高约值（含头）</x:v>
      </x:c>
      <x:c r="H40" s="17" t="str">
        <x:v>布衣穿脱</x:v>
      </x:c>
      <x:c r="I40" s="18" t="str">
        <x:v>PVC、ABS、布料</x:v>
      </x:c>
      <x:c r="J40" s="19" t="str">
        <x:v>原创人偶</x:v>
      </x:c>
      <x:c r="K40" s="11" t="str">
        <x:v>Fresh ruruko 26HB</x:v>
      </x:c>
      <x:c r="L40" s="11" t="str">
        <x:v>日本</x:v>
      </x:c>
      <x:c r="M40" s="11" t="str">
        <x:v>MADE IN JAPAN（ボディと衣装は中国製です）</x:v>
      </x:c>
      <x:c r="N40" s="11" t="str">
        <x:v>官方独立商品页所列版本；PS／Azone 等限定版本分别记录。</x:v>
      </x:c>
      <x:c r="O40" s="11" t="str">
        <x:v>高度 22 cm（官方本款全高约值（含头））</x:v>
      </x:c>
      <x:c r="P40" s="11" t="str">
        <x:v>使用素体：PW別注ピュアニーモフレクションXS/フル可動
本款内容：ruruko本体、オールインワン。
生产与保养口径：来源按本款注明本体、身体及衣装的产地分别保留。深色服装可能移色，拆装部件应遵循页面注意事项；不同批次不共用产地结论。</x:v>
      </x:c>
      <x:c r="Q40" s="11" t="str">
        <x:v>未取得产品对应证据</x:v>
      </x:c>
      <x:c r="R40" s="11" t="str">
        <x:v>2026-10-05</x:v>
      </x:c>
      <x:c r="S40" s="11" t="str">
        <x:v>ruruko-10989</x:v>
      </x:c>
      <x:c r="T40" s="11" t="str">
        <x:v>https://www.petworks.co.jp/doll/ruruko/10989/</x:v>
      </x:c>
    </x:row>
    <x:row r="41" ht="110" customHeight="1">
      <x:c r="A41" s="11" t="str">
        <x:v>朝霧のruruko</x:v>
      </x:c>
      <x:c r="B41" s="11" t="str">
        <x:v>PetWORKs</x:v>
      </x:c>
      <x:c r="C41" s="12" t="str">
        <x:v>关节可动</x:v>
      </x:c>
      <x:c r="D41" s="13" t="str">
        <x:v>成品含服</x:v>
      </x:c>
      <x:c r="E41" s="20" t="str">
        <x:v>未披露</x:v>
      </x:c>
      <x:c r="F41" s="21" t="n">
        <x:v>220</x:v>
      </x:c>
      <x:c r="G41" s="16" t="str">
        <x:v>官方本款全高约值（含头）</x:v>
      </x:c>
      <x:c r="H41" s="17" t="str">
        <x:v>布衣穿脱</x:v>
      </x:c>
      <x:c r="I41" s="18" t="str">
        <x:v>PVC、ABS、布料</x:v>
      </x:c>
      <x:c r="J41" s="19" t="str">
        <x:v>原创人偶</x:v>
      </x:c>
      <x:c r="K41" s="11" t="str">
        <x:v>朝霧のruruko</x:v>
      </x:c>
      <x:c r="L41" s="11" t="str">
        <x:v>日本</x:v>
      </x:c>
      <x:c r="M41" s="11" t="str">
        <x:v>MADE IN JAPAN（ボディは中国製、衣装はベトナム製です）</x:v>
      </x:c>
      <x:c r="N41" s="11" t="str">
        <x:v>官方独立商品页所列版本；PS／Azone 等限定版本分别记录。</x:v>
      </x:c>
      <x:c r="O41" s="11" t="str">
        <x:v>高度 22 cm（官方本款全高约值（含头））</x:v>
      </x:c>
      <x:c r="P41" s="11" t="str">
        <x:v>使用素体：PW別注ピュアニーモフレクションXS/フル可動
本款内容：ruruko本体、コルセット、ワンピース、パフパンツ、フリルソックス、リボン、クラシカルストラップシューズ。
生产与保养口径：来源按本款注明本体、身体及衣装的产地分别保留。深色服装可能移色，拆装部件应遵循页面注意事项；不同批次不共用产地结论。</x:v>
      </x:c>
      <x:c r="Q41" s="11" t="str">
        <x:v>未取得产品对应证据</x:v>
      </x:c>
      <x:c r="R41" s="11" t="str">
        <x:v>2026-10-05</x:v>
      </x:c>
      <x:c r="S41" s="11" t="str">
        <x:v>ruruko-10899</x:v>
      </x:c>
      <x:c r="T41" s="11" t="str">
        <x:v>https://www.petworks.co.jp/doll/ruruko/10899/</x:v>
      </x:c>
    </x:row>
    <x:row r="42" ht="110" customHeight="1">
      <x:c r="A42" s="11" t="str">
        <x:v>CCSgirl 26干支 ruruko 午 PS</x:v>
      </x:c>
      <x:c r="B42" s="11" t="str">
        <x:v>PetWORKs</x:v>
      </x:c>
      <x:c r="C42" s="12" t="str">
        <x:v>关节可动</x:v>
      </x:c>
      <x:c r="D42" s="13" t="str">
        <x:v>成品含服</x:v>
      </x:c>
      <x:c r="E42" s="20" t="str">
        <x:v>未披露</x:v>
      </x:c>
      <x:c r="F42" s="21" t="n">
        <x:v>220</x:v>
      </x:c>
      <x:c r="G42" s="16" t="str">
        <x:v>官方本款全高约值（含头）</x:v>
      </x:c>
      <x:c r="H42" s="17" t="str">
        <x:v>布衣穿脱</x:v>
      </x:c>
      <x:c r="I42" s="18" t="str">
        <x:v>PVC、ABS、布料</x:v>
      </x:c>
      <x:c r="J42" s="19" t="str">
        <x:v>原创人偶</x:v>
      </x:c>
      <x:c r="K42" s="11" t="str">
        <x:v>CCSgirl 26干支 ruruko 午 PS</x:v>
      </x:c>
      <x:c r="L42" s="11" t="str">
        <x:v>日本</x:v>
      </x:c>
      <x:c r="M42" s="11" t="str">
        <x:v>MADE IN JAPAN（ボディは中国製、衣装はベトナム製です）</x:v>
      </x:c>
      <x:c r="N42" s="11" t="str">
        <x:v>官方独立商品页所列版本；PS／Azone 等限定版本分别记录。</x:v>
      </x:c>
      <x:c r="O42" s="11" t="str">
        <x:v>高度 22 cm（官方本款全高约值（含头））</x:v>
      </x:c>
      <x:c r="P42" s="11" t="str">
        <x:v>使用素体：PW別注ピュアニーモフレクションXS/フル可動
本款内容：ruruko本体、振袖、ベルト付き作り帯、半襟付き肌着、帯揚、補正付き伊達締、ゴム伊達締、ショーツ、ハーフブーツ（STOC）。
生产与保养口径：来源按本款注明本体、身体及衣装的产地分别保留。深色服装可能移色，拆装部件应遵循页面注意事项；不同批次不共用产地结论。</x:v>
      </x:c>
      <x:c r="Q42" s="11" t="str">
        <x:v>未取得产品对应证据</x:v>
      </x:c>
      <x:c r="R42" s="11" t="str">
        <x:v>2026-10-05</x:v>
      </x:c>
      <x:c r="S42" s="11" t="str">
        <x:v>ruruko-10439</x:v>
      </x:c>
      <x:c r="T42" s="11" t="str">
        <x:v>https://www.petworks.co.jp/doll/ruruko/10439/</x:v>
      </x:c>
    </x:row>
    <x:row r="43" ht="110" customHeight="1">
      <x:c r="A43" s="11" t="str">
        <x:v>ruruko ae［mimi décor］</x:v>
      </x:c>
      <x:c r="B43" s="11" t="str">
        <x:v>PetWORKs</x:v>
      </x:c>
      <x:c r="C43" s="12" t="str">
        <x:v>关节可动</x:v>
      </x:c>
      <x:c r="D43" s="13" t="str">
        <x:v>成品含服</x:v>
      </x:c>
      <x:c r="E43" s="20" t="str">
        <x:v>未披露</x:v>
      </x:c>
      <x:c r="F43" s="21" t="n">
        <x:v>230</x:v>
      </x:c>
      <x:c r="G43" s="16" t="str">
        <x:v>官方本款全高约值（含头）</x:v>
      </x:c>
      <x:c r="H43" s="17" t="str">
        <x:v>布衣穿脱</x:v>
      </x:c>
      <x:c r="I43" s="18" t="str"/>
      <x:c r="J43" s="19" t="str">
        <x:v>原创人偶</x:v>
      </x:c>
      <x:c r="K43" s="11" t="str">
        <x:v>ruruko ae［mimi décor］</x:v>
      </x:c>
      <x:c r="L43" s="11" t="str">
        <x:v>日本</x:v>
      </x:c>
      <x:c r="M43" s="11" t="str">
        <x:v>未披露</x:v>
      </x:c>
      <x:c r="N43" s="11" t="str">
        <x:v>官方独立商品页所列版本；PS／Azone 等限定版本分别记录。</x:v>
      </x:c>
      <x:c r="O43" s="11" t="str">
        <x:v>高度 23 cm（官方本款全高约值（含头））</x:v>
      </x:c>
      <x:c r="P43" s="11" t="str">
        <x:v>使用素体：ピュアニーモ2エモーションS
本款内容：彩色済みドール本体、シアーブルゾン、フリルハーネス、ノースリーブトップス、スエードスカート、トレッキングスニーカー
生产与保养口径：来源按本款注明本体、身体及衣装的产地分别保留。深色服装可能移色，拆装部件应遵循页面注意事项；不同批次不共用产地结论。</x:v>
      </x:c>
      <x:c r="Q43" s="11" t="str">
        <x:v>未取得产品对应证据</x:v>
      </x:c>
      <x:c r="R43" s="11" t="str">
        <x:v>2026-10-05</x:v>
      </x:c>
      <x:c r="S43" s="11" t="str">
        <x:v>ruruko-10499</x:v>
      </x:c>
      <x:c r="T43" s="11" t="str">
        <x:v>https://www.petworks.co.jp/doll/ruruko/10499/</x:v>
      </x:c>
    </x:row>
    <x:row r="44" ht="110" customHeight="1">
      <x:c r="A44" s="11" t="str">
        <x:v>ruruko ae［Candy Stripper］</x:v>
      </x:c>
      <x:c r="B44" s="11" t="str">
        <x:v>PetWORKs</x:v>
      </x:c>
      <x:c r="C44" s="12" t="str">
        <x:v>关节可动</x:v>
      </x:c>
      <x:c r="D44" s="13" t="str">
        <x:v>成品含服</x:v>
      </x:c>
      <x:c r="E44" s="20" t="str">
        <x:v>未披露</x:v>
      </x:c>
      <x:c r="F44" s="21" t="n">
        <x:v>230</x:v>
      </x:c>
      <x:c r="G44" s="16" t="str">
        <x:v>官方本款全高约值（含头）</x:v>
      </x:c>
      <x:c r="H44" s="17" t="str">
        <x:v>布衣穿脱</x:v>
      </x:c>
      <x:c r="I44" s="18" t="str"/>
      <x:c r="J44" s="19" t="str">
        <x:v>原创人偶</x:v>
      </x:c>
      <x:c r="K44" s="11" t="str">
        <x:v>ruruko ae［Candy Stripper］</x:v>
      </x:c>
      <x:c r="L44" s="11" t="str">
        <x:v>日本</x:v>
      </x:c>
      <x:c r="M44" s="11" t="str">
        <x:v>未披露</x:v>
      </x:c>
      <x:c r="N44" s="11" t="str">
        <x:v>官方独立商品页所列版本；PS／Azone 等限定版本分别记录。</x:v>
      </x:c>
      <x:c r="O44" s="11" t="str">
        <x:v>高度 23 cm（官方本款全高约值（含头））</x:v>
      </x:c>
      <x:c r="P44" s="11" t="str">
        <x:v>使用素体：ピュアニーモ2エモーションS
本款内容：彩色済みドール本体、キャットファーハット、フリルジャージーブルゾン、ミッドナイトチュールベビードール、チュールフリルショーツ、3WAYベルトブーツカバー、クラシカルストラップシューズ
生产与保养口径：来源按本款注明本体、身体及衣装的产地分别保留。深色服装可能移色，拆装部件应遵循页面注意事项；不同批次不共用产地结论。</x:v>
      </x:c>
      <x:c r="Q44" s="11" t="str">
        <x:v>未取得产品对应证据</x:v>
      </x:c>
      <x:c r="R44" s="11" t="str">
        <x:v>2026-10-05</x:v>
      </x:c>
      <x:c r="S44" s="11" t="str">
        <x:v>ruruko-10495</x:v>
      </x:c>
      <x:c r="T44" s="11" t="str">
        <x:v>https://www.petworks.co.jp/doll/ruruko/10495/</x:v>
      </x:c>
    </x:row>
    <x:row r="45" ht="110" customHeight="1">
      <x:c r="A45" s="11" t="str">
        <x:v>CCSgirl 26SS ruruko</x:v>
      </x:c>
      <x:c r="B45" s="11" t="str">
        <x:v>PetWORKs</x:v>
      </x:c>
      <x:c r="C45" s="12" t="str">
        <x:v>关节可动</x:v>
      </x:c>
      <x:c r="D45" s="13" t="str">
        <x:v>成品含服</x:v>
      </x:c>
      <x:c r="E45" s="20" t="str">
        <x:v>未披露</x:v>
      </x:c>
      <x:c r="F45" s="21" t="n">
        <x:v>220</x:v>
      </x:c>
      <x:c r="G45" s="16" t="str">
        <x:v>官方本款全高约值（含头）</x:v>
      </x:c>
      <x:c r="H45" s="17" t="str">
        <x:v>布衣穿脱</x:v>
      </x:c>
      <x:c r="I45" s="18" t="str">
        <x:v>PVC、ABS、布料</x:v>
      </x:c>
      <x:c r="J45" s="19" t="str">
        <x:v>原创人偶</x:v>
      </x:c>
      <x:c r="K45" s="11" t="str">
        <x:v>CCSgirl 26SS ruruko</x:v>
      </x:c>
      <x:c r="L45" s="11" t="str">
        <x:v>日本</x:v>
      </x:c>
      <x:c r="M45" s="11" t="str">
        <x:v>MADE IN JAPAN（ボディと衣装は中国製です）</x:v>
      </x:c>
      <x:c r="N45" s="11" t="str">
        <x:v>官方独立商品页所列版本；PS／Azone 等限定版本分别记录。</x:v>
      </x:c>
      <x:c r="O45" s="11" t="str">
        <x:v>高度 22 cm（官方本款全高约值（含头））</x:v>
      </x:c>
      <x:c r="P45" s="11" t="str">
        <x:v>使用素体：PW別注ピュアニーモフレクションXS/フル可動
本款内容：ruruko本体、クラッシュボーダーニットワンピ、ショーツ、スエードリングチョーカー、チェーンラリエット、ミニ安全ピン2本、エンジニアブーツ（STOC）。
生产与保养口径：来源按本款注明本体、身体及衣装的产地分别保留。深色服装可能移色，拆装部件应遵循页面注意事项；不同批次不共用产地结论。</x:v>
      </x:c>
      <x:c r="Q45" s="11" t="str">
        <x:v>未取得产品对应证据</x:v>
      </x:c>
      <x:c r="R45" s="11" t="str">
        <x:v>2026-10-05</x:v>
      </x:c>
      <x:c r="S45" s="11" t="str">
        <x:v>ruruko-10354</x:v>
      </x:c>
      <x:c r="T45" s="11" t="str">
        <x:v>https://www.petworks.co.jp/doll/ruruko/10354/</x:v>
      </x:c>
    </x:row>
    <x:row r="46" ht="110" customHeight="1">
      <x:c r="A46" s="11" t="str">
        <x:v>Fresh ruruko 2603</x:v>
      </x:c>
      <x:c r="B46" s="11" t="str">
        <x:v>PetWORKs</x:v>
      </x:c>
      <x:c r="C46" s="12" t="str">
        <x:v>关节可动</x:v>
      </x:c>
      <x:c r="D46" s="13" t="str">
        <x:v>成品含服</x:v>
      </x:c>
      <x:c r="E46" s="20" t="str">
        <x:v>未披露</x:v>
      </x:c>
      <x:c r="F46" s="21" t="n">
        <x:v>220</x:v>
      </x:c>
      <x:c r="G46" s="16" t="str">
        <x:v>官方本款全高约值（含头）</x:v>
      </x:c>
      <x:c r="H46" s="17" t="str">
        <x:v>布衣穿脱</x:v>
      </x:c>
      <x:c r="I46" s="18" t="str">
        <x:v>PVC、ABS、布料</x:v>
      </x:c>
      <x:c r="J46" s="19" t="str">
        <x:v>原创人偶</x:v>
      </x:c>
      <x:c r="K46" s="11" t="str">
        <x:v>Fresh ruruko 2603</x:v>
      </x:c>
      <x:c r="L46" s="11" t="str">
        <x:v>日本</x:v>
      </x:c>
      <x:c r="M46" s="11" t="str">
        <x:v>MADE IN JAPAN（ボディと衣装は中国製です）</x:v>
      </x:c>
      <x:c r="N46" s="11" t="str">
        <x:v>官方独立商品页所列版本；PS／Azone 等限定版本分别记录。</x:v>
      </x:c>
      <x:c r="O46" s="11" t="str">
        <x:v>高度 22 cm（官方本款全高约值（含头））</x:v>
      </x:c>
      <x:c r="P46" s="11" t="str">
        <x:v>使用素体：PW別注ピュアニーモフレクションXS/フル可動
本款内容：ruruko本体、オールインワン。
生产与保养口径：来源按本款注明本体、身体及衣装的产地分别保留。深色服装可能移色，拆装部件应遵循页面注意事项；不同批次不共用产地结论。</x:v>
      </x:c>
      <x:c r="Q46" s="11" t="str">
        <x:v>未取得产品对应证据</x:v>
      </x:c>
      <x:c r="R46" s="11" t="str">
        <x:v>2026-10-05</x:v>
      </x:c>
      <x:c r="S46" s="11" t="str">
        <x:v>ruruko-10352</x:v>
      </x:c>
      <x:c r="T46" s="11" t="str">
        <x:v>https://www.petworks.co.jp/doll/ruruko/10352/</x:v>
      </x:c>
    </x:row>
    <x:row r="47" ht="110" customHeight="1">
      <x:c r="A47" s="11" t="str">
        <x:v>CCSgirl 26干支 ruruko 午</x:v>
      </x:c>
      <x:c r="B47" s="11" t="str">
        <x:v>PetWORKs</x:v>
      </x:c>
      <x:c r="C47" s="12" t="str">
        <x:v>关节可动</x:v>
      </x:c>
      <x:c r="D47" s="13" t="str">
        <x:v>成品含服</x:v>
      </x:c>
      <x:c r="E47" s="20" t="str">
        <x:v>未披露</x:v>
      </x:c>
      <x:c r="F47" s="21" t="n">
        <x:v>220</x:v>
      </x:c>
      <x:c r="G47" s="16" t="str">
        <x:v>官方本款全高约值（含头）</x:v>
      </x:c>
      <x:c r="H47" s="17" t="str">
        <x:v>布衣穿脱</x:v>
      </x:c>
      <x:c r="I47" s="18" t="str">
        <x:v>PVC、ABS、布料</x:v>
      </x:c>
      <x:c r="J47" s="19" t="str">
        <x:v>原创人偶</x:v>
      </x:c>
      <x:c r="K47" s="11" t="str">
        <x:v>CCSgirl 26干支 ruruko 午</x:v>
      </x:c>
      <x:c r="L47" s="11" t="str">
        <x:v>日本</x:v>
      </x:c>
      <x:c r="M47" s="11" t="str">
        <x:v>MADE IN JAPAN（ボディは中国製、衣装はベトナム製です）</x:v>
      </x:c>
      <x:c r="N47" s="11" t="str">
        <x:v>官方独立商品页所列版本；PS／Azone 等限定版本分别记录。</x:v>
      </x:c>
      <x:c r="O47" s="11" t="str">
        <x:v>高度 22 cm（官方本款全高约值（含头））</x:v>
      </x:c>
      <x:c r="P47" s="11" t="str">
        <x:v>使用素体：ピュアニーモフレクションXS/フル可動
本款内容：内容物：ruruko本体、振袖、ベルト付き作り帯、半襟付き肌着、帯揚、補正付き伊達締、ゴム伊達締、ショーツ、ミニコーム小2本、ハーフブーツ（STOC）。
生产与保养口径：来源按本款注明本体、身体及衣装的产地分别保留。深色服装可能移色，拆装部件应遵循页面注意事项；不同批次不共用产地结论。</x:v>
      </x:c>
      <x:c r="Q47" s="11" t="str">
        <x:v>未取得产品对应证据</x:v>
      </x:c>
      <x:c r="R47" s="11" t="str">
        <x:v>2026-10-05</x:v>
      </x:c>
      <x:c r="S47" s="11" t="str">
        <x:v>ruruko-10147</x:v>
      </x:c>
      <x:c r="T47" s="11" t="str">
        <x:v>https://www.petworks.co.jp/doll/ruruko/10147/</x:v>
      </x:c>
    </x:row>
    <x:row r="48" ht="110" customHeight="1">
      <x:c r="A48" s="11" t="str">
        <x:v>CCSgirl 26VDAY ruruko</x:v>
      </x:c>
      <x:c r="B48" s="11" t="str">
        <x:v>PetWORKs</x:v>
      </x:c>
      <x:c r="C48" s="12" t="str">
        <x:v>关节可动</x:v>
      </x:c>
      <x:c r="D48" s="13" t="str">
        <x:v>成品含服</x:v>
      </x:c>
      <x:c r="E48" s="20" t="str">
        <x:v>未披露</x:v>
      </x:c>
      <x:c r="F48" s="21" t="n">
        <x:v>220</x:v>
      </x:c>
      <x:c r="G48" s="16" t="str">
        <x:v>官方本款全高约值（含头）</x:v>
      </x:c>
      <x:c r="H48" s="17" t="str">
        <x:v>布衣穿脱</x:v>
      </x:c>
      <x:c r="I48" s="18" t="str">
        <x:v>PVC、ABS、布料</x:v>
      </x:c>
      <x:c r="J48" s="19" t="str">
        <x:v>原创人偶</x:v>
      </x:c>
      <x:c r="K48" s="11" t="str">
        <x:v>CCSgirl 26VDAY ruruko</x:v>
      </x:c>
      <x:c r="L48" s="11" t="str">
        <x:v>日本</x:v>
      </x:c>
      <x:c r="M48" s="11" t="str">
        <x:v>MADE IN JAPAN（ボディと衣装は中国製です）</x:v>
      </x:c>
      <x:c r="N48" s="11" t="str">
        <x:v>官方独立商品页所列版本；PS／Azone 等限定版本分别记录。</x:v>
      </x:c>
      <x:c r="O48" s="11" t="str">
        <x:v>高度 22 cm（官方本款全高约值（含头））</x:v>
      </x:c>
      <x:c r="P48" s="11" t="str">
        <x:v>使用素体：PW別注ピュアニーモフレクションXS/フル可動
本款内容：内容物：ruruko本体、ハートニットワンピ、フリルソックス、ショーツ、カチューシャ（STOC）、Tストラップシューズ（STOC）。
生产与保养口径：来源按本款注明本体、身体及衣装的产地分别保留。深色服装可能移色，拆装部件应遵循页面注意事项；不同批次不共用产地结论。</x:v>
      </x:c>
      <x:c r="Q48" s="11" t="str">
        <x:v>未取得产品对应证据</x:v>
      </x:c>
      <x:c r="R48" s="11" t="str">
        <x:v>2026-10-05</x:v>
      </x:c>
      <x:c r="S48" s="11" t="str">
        <x:v>ruruko-9994</x:v>
      </x:c>
      <x:c r="T48" s="11" t="str">
        <x:v>https://www.petworks.co.jp/doll/ruruko/9994/</x:v>
      </x:c>
    </x:row>
    <x:row r="49" ht="110" customHeight="1">
      <x:c r="A49" s="11" t="str">
        <x:v>Fresh ruruko 2512 PS</x:v>
      </x:c>
      <x:c r="B49" s="11" t="str">
        <x:v>PetWORKs</x:v>
      </x:c>
      <x:c r="C49" s="12" t="str">
        <x:v>关节可动</x:v>
      </x:c>
      <x:c r="D49" s="13" t="str">
        <x:v>成品含服</x:v>
      </x:c>
      <x:c r="E49" s="20" t="str">
        <x:v>未披露</x:v>
      </x:c>
      <x:c r="F49" s="21" t="n">
        <x:v>220</x:v>
      </x:c>
      <x:c r="G49" s="16" t="str">
        <x:v>官方本款全高约值（含头）</x:v>
      </x:c>
      <x:c r="H49" s="17" t="str">
        <x:v>布衣穿脱</x:v>
      </x:c>
      <x:c r="I49" s="18" t="str">
        <x:v>PVC、ABS、布料</x:v>
      </x:c>
      <x:c r="J49" s="19" t="str">
        <x:v>原创人偶</x:v>
      </x:c>
      <x:c r="K49" s="11" t="str">
        <x:v>Fresh ruruko 2512 PS</x:v>
      </x:c>
      <x:c r="L49" s="11" t="str">
        <x:v>日本</x:v>
      </x:c>
      <x:c r="M49" s="11" t="str">
        <x:v>MADE IN JAPAN（ボディと衣装は中国製です）</x:v>
      </x:c>
      <x:c r="N49" s="11" t="str">
        <x:v>官方独立商品页所列版本；PS／Azone 等限定版本分别记录。</x:v>
      </x:c>
      <x:c r="O49" s="11" t="str">
        <x:v>高度 22 cm（官方本款全高约值（含头））</x:v>
      </x:c>
      <x:c r="P49" s="11" t="str">
        <x:v>使用素体：PW別注ピュアニーモフレクションXS/フル可動
本款内容：ruruko本体、オールインワン。
生产与保养口径：来源按本款注明本体、身体及衣装的产地分别保留。深色服装可能移色，拆装部件应遵循页面注意事项；不同批次不共用产地结论。</x:v>
      </x:c>
      <x:c r="Q49" s="11" t="str">
        <x:v>未取得产品对应证据</x:v>
      </x:c>
      <x:c r="R49" s="11" t="str">
        <x:v>2026-10-05</x:v>
      </x:c>
      <x:c r="S49" s="11" t="str">
        <x:v>ruruko-9937</x:v>
      </x:c>
      <x:c r="T49" s="11" t="str">
        <x:v>https://www.petworks.co.jp/doll/ruruko/9937/</x:v>
      </x:c>
    </x:row>
    <x:row r="50" ht="110" customHeight="1">
      <x:c r="A50" s="11" t="str">
        <x:v>屋根裏のruruko F.L.C. ver.</x:v>
      </x:c>
      <x:c r="B50" s="11" t="str">
        <x:v>PetWORKs</x:v>
      </x:c>
      <x:c r="C50" s="12" t="str">
        <x:v>关节可动</x:v>
      </x:c>
      <x:c r="D50" s="13" t="str">
        <x:v>成品含服</x:v>
      </x:c>
      <x:c r="E50" s="20" t="str">
        <x:v>未披露</x:v>
      </x:c>
      <x:c r="F50" s="21" t="n">
        <x:v>220</x:v>
      </x:c>
      <x:c r="G50" s="16" t="str">
        <x:v>官方本款全高约值（含头）</x:v>
      </x:c>
      <x:c r="H50" s="17" t="str">
        <x:v>布衣穿脱</x:v>
      </x:c>
      <x:c r="I50" s="18" t="str">
        <x:v>PVC、ABS、布料</x:v>
      </x:c>
      <x:c r="J50" s="19" t="str">
        <x:v>原创人偶</x:v>
      </x:c>
      <x:c r="K50" s="11" t="str">
        <x:v>屋根裏のruruko F.L.C. ver.</x:v>
      </x:c>
      <x:c r="L50" s="11" t="str">
        <x:v>日本</x:v>
      </x:c>
      <x:c r="M50" s="11" t="str">
        <x:v>MADE IN JAPAN（ボディは中国製、衣装はベトナム製です）</x:v>
      </x:c>
      <x:c r="N50" s="11" t="str">
        <x:v>官方独立商品页所列版本；PS／Azone 等限定版本分别记录。</x:v>
      </x:c>
      <x:c r="O50" s="11" t="str">
        <x:v>高度 22 cm（官方本款全高约值（含头））</x:v>
      </x:c>
      <x:c r="P50" s="11" t="str">
        <x:v>使用素体：PW別注ピュアニーモフレクションXS/フル可動
本款内容：ruruko本体、ストライプワンピース、アイボリーエプロン、ドロワーズ、ソックス、カンカン帽、ハーフブーツ（STOC）
生产与保养口径：来源按本款注明本体、身体及衣装的产地分别保留。深色服装可能移色，拆装部件应遵循页面注意事项；不同批次不共用产地结论。</x:v>
      </x:c>
      <x:c r="Q50" s="11" t="str">
        <x:v>未取得产品对应证据</x:v>
      </x:c>
      <x:c r="R50" s="11" t="str">
        <x:v>2026-10-05</x:v>
      </x:c>
      <x:c r="S50" s="11" t="str">
        <x:v>ruruko-9736</x:v>
      </x:c>
      <x:c r="T50" s="11" t="str">
        <x:v>https://www.petworks.co.jp/doll/ruruko/9736/</x:v>
      </x:c>
    </x:row>
    <x:row r="51" ht="110" customHeight="1">
      <x:c r="A51" s="11" t="str">
        <x:v>りんご園のruruko F.L.C. ver.</x:v>
      </x:c>
      <x:c r="B51" s="11" t="str">
        <x:v>PetWORKs</x:v>
      </x:c>
      <x:c r="C51" s="12" t="str">
        <x:v>关节可动</x:v>
      </x:c>
      <x:c r="D51" s="13" t="str">
        <x:v>成品含服</x:v>
      </x:c>
      <x:c r="E51" s="20" t="str">
        <x:v>未披露</x:v>
      </x:c>
      <x:c r="F51" s="21" t="n">
        <x:v>220</x:v>
      </x:c>
      <x:c r="G51" s="16" t="str">
        <x:v>官方本款全高约值（含头）</x:v>
      </x:c>
      <x:c r="H51" s="17" t="str">
        <x:v>布衣穿脱</x:v>
      </x:c>
      <x:c r="I51" s="18" t="str">
        <x:v>PVC、ABS、布料</x:v>
      </x:c>
      <x:c r="J51" s="19" t="str">
        <x:v>原创人偶</x:v>
      </x:c>
      <x:c r="K51" s="11" t="str">
        <x:v>りんご園のruruko F.L.C. ver.</x:v>
      </x:c>
      <x:c r="L51" s="11" t="str">
        <x:v>日本</x:v>
      </x:c>
      <x:c r="M51" s="11" t="str">
        <x:v>MADE IN JAPAN（ボディは中国製、衣装はベトナム製です）</x:v>
      </x:c>
      <x:c r="N51" s="11" t="str">
        <x:v>官方独立商品页所列版本；PS／Azone 等限定版本分别记录。</x:v>
      </x:c>
      <x:c r="O51" s="11" t="str">
        <x:v>高度 22 cm（官方本款全高约值（含头））</x:v>
      </x:c>
      <x:c r="P51" s="11" t="str">
        <x:v>使用素体：PW別注ピュアニーモフレクションXS/フル可動
本款内容：ruruko本体、ちょうちん袖ワンピース、きなりエプロン、ドロワーズ、ソックス、ヘッドリボン、ボタンアップブーツ（STOC）
生产与保养口径：来源按本款注明本体、身体及衣装的产地分别保留。深色服装可能移色，拆装部件应遵循页面注意事项；不同批次不共用产地结论。</x:v>
      </x:c>
      <x:c r="Q51" s="11" t="str">
        <x:v>未取得产品对应证据</x:v>
      </x:c>
      <x:c r="R51" s="11" t="str">
        <x:v>2026-10-05</x:v>
      </x:c>
      <x:c r="S51" s="11" t="str">
        <x:v>ruruko-9738</x:v>
      </x:c>
      <x:c r="T51" s="11" t="str">
        <x:v>https://www.petworks.co.jp/doll/ruruko/9738/</x:v>
      </x:c>
    </x:row>
    <x:row r="52" ht="110" customHeight="1">
      <x:c r="A52" s="11" t="str">
        <x:v>十夜の夢 ruruko すみれ Azone Ex. bk</x:v>
      </x:c>
      <x:c r="B52" s="11" t="str">
        <x:v>PetWORKs</x:v>
      </x:c>
      <x:c r="C52" s="12" t="str">
        <x:v>关节可动</x:v>
      </x:c>
      <x:c r="D52" s="13" t="str">
        <x:v>成品含服</x:v>
      </x:c>
      <x:c r="E52" s="20" t="str">
        <x:v>未披露</x:v>
      </x:c>
      <x:c r="F52" s="21" t="n">
        <x:v>220</x:v>
      </x:c>
      <x:c r="G52" s="16" t="str">
        <x:v>官方本款全高约值（含头）</x:v>
      </x:c>
      <x:c r="H52" s="17" t="str">
        <x:v>布衣穿脱</x:v>
      </x:c>
      <x:c r="I52" s="18" t="str">
        <x:v>PVC、ABS、布料</x:v>
      </x:c>
      <x:c r="J52" s="19" t="str">
        <x:v>原创人偶</x:v>
      </x:c>
      <x:c r="K52" s="11" t="str">
        <x:v>十夜の夢 ruruko すみれ Azone Ex. bk</x:v>
      </x:c>
      <x:c r="L52" s="11" t="str">
        <x:v>日本</x:v>
      </x:c>
      <x:c r="M52" s="11" t="str">
        <x:v>MADE IN JAPAN（ボディは中国製、衣装はベトナム製です）</x:v>
      </x:c>
      <x:c r="N52" s="11" t="str">
        <x:v>官方独立商品页所列版本；PS／Azone 等限定版本分别记录。</x:v>
      </x:c>
      <x:c r="O52" s="11" t="str">
        <x:v>高度 22 cm（官方本款全高约值（含头））</x:v>
      </x:c>
      <x:c r="P52" s="11" t="str">
        <x:v>使用素体：PW別注ピュアニーモフレクションXS/フル可動
本款内容：ruruko本体、ワンピース、リボンベルト、ドロワーズ、ヘッドリボン、ボタンアップブーツ（STOC）
生产与保养口径：来源按本款注明本体、身体及衣装的产地分别保留。深色服装可能移色，拆装部件应遵循页面注意事项；不同批次不共用产地结论。</x:v>
      </x:c>
      <x:c r="Q52" s="11" t="str">
        <x:v>未取得产品对应证据</x:v>
      </x:c>
      <x:c r="R52" s="11" t="str">
        <x:v>2026-10-05</x:v>
      </x:c>
      <x:c r="S52" s="11" t="str">
        <x:v>ruruko-9754</x:v>
      </x:c>
      <x:c r="T52" s="11" t="str">
        <x:v>https://www.petworks.co.jp/doll/ruruko/9754/</x:v>
      </x:c>
    </x:row>
    <x:row r="53" ht="110" customHeight="1">
      <x:c r="A53" s="11" t="str">
        <x:v>十夜の夢 ruruko すみれ Azone Ex. wh</x:v>
      </x:c>
      <x:c r="B53" s="11" t="str">
        <x:v>PetWORKs</x:v>
      </x:c>
      <x:c r="C53" s="12" t="str">
        <x:v>关节可动</x:v>
      </x:c>
      <x:c r="D53" s="13" t="str">
        <x:v>成品含服</x:v>
      </x:c>
      <x:c r="E53" s="20" t="str">
        <x:v>未披露</x:v>
      </x:c>
      <x:c r="F53" s="21" t="n">
        <x:v>220</x:v>
      </x:c>
      <x:c r="G53" s="16" t="str">
        <x:v>官方本款全高约值（含头）</x:v>
      </x:c>
      <x:c r="H53" s="17" t="str">
        <x:v>布衣穿脱</x:v>
      </x:c>
      <x:c r="I53" s="18" t="str">
        <x:v>PVC、ABS、布料</x:v>
      </x:c>
      <x:c r="J53" s="19" t="str">
        <x:v>原创人偶</x:v>
      </x:c>
      <x:c r="K53" s="11" t="str">
        <x:v>十夜の夢 ruruko すみれ Azone Ex. wh</x:v>
      </x:c>
      <x:c r="L53" s="11" t="str">
        <x:v>日本</x:v>
      </x:c>
      <x:c r="M53" s="11" t="str">
        <x:v>MADE IN JAPAN（ボディは中国製、衣装はベトナム製です）</x:v>
      </x:c>
      <x:c r="N53" s="11" t="str">
        <x:v>官方独立商品页所列版本；PS／Azone 等限定版本分别记录。</x:v>
      </x:c>
      <x:c r="O53" s="11" t="str">
        <x:v>高度 22 cm（官方本款全高约值（含头））</x:v>
      </x:c>
      <x:c r="P53" s="11" t="str">
        <x:v>使用素体：PW別注ピュアニーモフレクションXS/フル可動
本款内容：ruruko本体、ワンピース、リボンベルト、ドロワーズ、ヘッドリボン、ボタンアップブーツ（STOC）
生产与保养口径：来源按本款注明本体、身体及衣装的产地分别保留。深色服装可能移色，拆装部件应遵循页面注意事项；不同批次不共用产地结论。</x:v>
      </x:c>
      <x:c r="Q53" s="11" t="str">
        <x:v>未取得产品对应证据</x:v>
      </x:c>
      <x:c r="R53" s="11" t="str">
        <x:v>2026-10-05</x:v>
      </x:c>
      <x:c r="S53" s="11" t="str">
        <x:v>ruruko-9758</x:v>
      </x:c>
      <x:c r="T53" s="11" t="str">
        <x:v>https://www.petworks.co.jp/doll/ruruko/9758/</x:v>
      </x:c>
    </x:row>
    <x:row r="54" ht="110" customHeight="1">
      <x:c r="A54" s="11" t="str">
        <x:v>Fresh ruruko 2507</x:v>
      </x:c>
      <x:c r="B54" s="11" t="str">
        <x:v>PetWORKs</x:v>
      </x:c>
      <x:c r="C54" s="12" t="str">
        <x:v>关节可动</x:v>
      </x:c>
      <x:c r="D54" s="13" t="str">
        <x:v>成品含服</x:v>
      </x:c>
      <x:c r="E54" s="20" t="str">
        <x:v>未披露</x:v>
      </x:c>
      <x:c r="F54" s="21" t="n">
        <x:v>220</x:v>
      </x:c>
      <x:c r="G54" s="16" t="str">
        <x:v>官方本款全高约值（含头）</x:v>
      </x:c>
      <x:c r="H54" s="17" t="str">
        <x:v>布衣穿脱</x:v>
      </x:c>
      <x:c r="I54" s="18" t="str">
        <x:v>PVC、ABS、布料</x:v>
      </x:c>
      <x:c r="J54" s="19" t="str">
        <x:v>原创人偶</x:v>
      </x:c>
      <x:c r="K54" s="11" t="str">
        <x:v>Fresh ruruko 2507</x:v>
      </x:c>
      <x:c r="L54" s="11" t="str">
        <x:v>日本</x:v>
      </x:c>
      <x:c r="M54" s="11" t="str">
        <x:v>MADE IN JAPAN（ボディと衣装は中国製です）</x:v>
      </x:c>
      <x:c r="N54" s="11" t="str">
        <x:v>官方独立商品页所列版本；PS／Azone 等限定版本分别记录。</x:v>
      </x:c>
      <x:c r="O54" s="11" t="str">
        <x:v>高度 22 cm（官方本款全高约值（含头））</x:v>
      </x:c>
      <x:c r="P54" s="11" t="str">
        <x:v>使用素体：PW別注ピュアニーモフレクションXS/フル可動
本款内容：ruruko本体、オールインワン。
生产与保养口径：来源按本款注明本体、身体及衣装的产地分别保留。深色服装可能移色，拆装部件应遵循页面注意事项；不同批次不共用产地结论。</x:v>
      </x:c>
      <x:c r="Q54" s="11" t="str">
        <x:v>未取得产品对应证据</x:v>
      </x:c>
      <x:c r="R54" s="11" t="str">
        <x:v>2026-10-05</x:v>
      </x:c>
      <x:c r="S54" s="11" t="str">
        <x:v>ruruko-9390</x:v>
      </x:c>
      <x:c r="T54" s="11" t="str">
        <x:v>https://www.petworks.co.jp/doll/ruruko/9390/</x:v>
      </x:c>
    </x:row>
    <x:row r="55" ht="110" customHeight="1">
      <x:c r="A55" s="11" t="str">
        <x:v>CCSgirl 25SS ruruko PS</x:v>
      </x:c>
      <x:c r="B55" s="11" t="str">
        <x:v>PetWORKs</x:v>
      </x:c>
      <x:c r="C55" s="12" t="str">
        <x:v>关节可动</x:v>
      </x:c>
      <x:c r="D55" s="13" t="str">
        <x:v>成品含服</x:v>
      </x:c>
      <x:c r="E55" s="20" t="str">
        <x:v>未披露</x:v>
      </x:c>
      <x:c r="F55" s="21" t="n">
        <x:v>220</x:v>
      </x:c>
      <x:c r="G55" s="16" t="str">
        <x:v>官方本款全高约值（含头）</x:v>
      </x:c>
      <x:c r="H55" s="17" t="str">
        <x:v>布衣穿脱</x:v>
      </x:c>
      <x:c r="I55" s="18" t="str">
        <x:v>PVC、ABS、布料</x:v>
      </x:c>
      <x:c r="J55" s="19" t="str">
        <x:v>原创人偶</x:v>
      </x:c>
      <x:c r="K55" s="11" t="str">
        <x:v>CCSgirl 25SS ruruko PS</x:v>
      </x:c>
      <x:c r="L55" s="11" t="str">
        <x:v>日本</x:v>
      </x:c>
      <x:c r="M55" s="11" t="str">
        <x:v>MADE IN JAPAN（ボディは中国製、衣装はベトナム製です）</x:v>
      </x:c>
      <x:c r="N55" s="11" t="str">
        <x:v>官方独立商品页所列版本；PS／Azone 等限定版本分别记录。</x:v>
      </x:c>
      <x:c r="O55" s="11" t="str">
        <x:v>高度 22 cm（官方本款全高约值（含头））</x:v>
      </x:c>
      <x:c r="P55" s="11" t="str">
        <x:v>使用素体：PW別注ピュアニーモフレクションXS/フル可動
本款内容：ruruko本体、ワンピース、ドロワーズ、リボンハーネス、ソックス、ストラップシューズ（STOC）。
生产与保养口径：来源按本款注明本体、身体及衣装的产地分别保留。深色服装可能移色，拆装部件应遵循页面注意事项；不同批次不共用产地结论。</x:v>
      </x:c>
      <x:c r="Q55" s="11" t="str">
        <x:v>未取得产品对应证据</x:v>
      </x:c>
      <x:c r="R55" s="11" t="str">
        <x:v>2026-10-05</x:v>
      </x:c>
      <x:c r="S55" s="11" t="str">
        <x:v>ruruko-9379</x:v>
      </x:c>
      <x:c r="T55" s="11" t="str">
        <x:v>https://www.petworks.co.jp/doll/ruruko/9379/</x:v>
      </x:c>
    </x:row>
    <x:row r="56" ht="110" customHeight="1">
      <x:c r="A56" s="11" t="str">
        <x:v>Fresh ruruko 25HB</x:v>
      </x:c>
      <x:c r="B56" s="11" t="str">
        <x:v>PetWORKs</x:v>
      </x:c>
      <x:c r="C56" s="12" t="str">
        <x:v>关节可动</x:v>
      </x:c>
      <x:c r="D56" s="13" t="str">
        <x:v>成品含服</x:v>
      </x:c>
      <x:c r="E56" s="20" t="str">
        <x:v>未披露</x:v>
      </x:c>
      <x:c r="F56" s="21" t="n">
        <x:v>220</x:v>
      </x:c>
      <x:c r="G56" s="16" t="str">
        <x:v>官方本款全高约值（含头）</x:v>
      </x:c>
      <x:c r="H56" s="17" t="str">
        <x:v>布衣穿脱</x:v>
      </x:c>
      <x:c r="I56" s="18" t="str">
        <x:v>PVC、ABS、布料</x:v>
      </x:c>
      <x:c r="J56" s="19" t="str">
        <x:v>原创人偶</x:v>
      </x:c>
      <x:c r="K56" s="11" t="str">
        <x:v>Fresh ruruko 25HB</x:v>
      </x:c>
      <x:c r="L56" s="11" t="str">
        <x:v>日本</x:v>
      </x:c>
      <x:c r="M56" s="11" t="str">
        <x:v>MADE IN JAPAN（ボディと衣装は中国製です）</x:v>
      </x:c>
      <x:c r="N56" s="11" t="str">
        <x:v>官方独立商品页所列版本；PS／Azone 等限定版本分别记录。</x:v>
      </x:c>
      <x:c r="O56" s="11" t="str">
        <x:v>高度 22 cm（官方本款全高约值（含头））</x:v>
      </x:c>
      <x:c r="P56" s="11" t="str">
        <x:v>使用素体：PW別注ピュアニーモフレクションXS/フル可動
本款内容：ruruko本体、オールインワン。
生产与保养口径：来源按本款注明本体、身体及衣装的产地分别保留。深色服装可能移色，拆装部件应遵循页面注意事项；不同批次不共用产地结论。</x:v>
      </x:c>
      <x:c r="Q56" s="11" t="str">
        <x:v>未取得产品对应证据</x:v>
      </x:c>
      <x:c r="R56" s="11" t="str">
        <x:v>2026-10-05</x:v>
      </x:c>
      <x:c r="S56" s="11" t="str">
        <x:v>ruruko-9377</x:v>
      </x:c>
      <x:c r="T56" s="11" t="str">
        <x:v>https://www.petworks.co.jp/doll/ruruko/9377/</x:v>
      </x:c>
    </x:row>
    <x:row r="57" ht="110" customHeight="1">
      <x:c r="A57" s="11" t="str">
        <x:v>CCSgirl 24AW ruruko PS</x:v>
      </x:c>
      <x:c r="B57" s="11" t="str">
        <x:v>PetWORKs</x:v>
      </x:c>
      <x:c r="C57" s="12" t="str">
        <x:v>关节可动</x:v>
      </x:c>
      <x:c r="D57" s="13" t="str">
        <x:v>成品含服</x:v>
      </x:c>
      <x:c r="E57" s="20" t="str">
        <x:v>未披露</x:v>
      </x:c>
      <x:c r="F57" s="21" t="n">
        <x:v>220</x:v>
      </x:c>
      <x:c r="G57" s="16" t="str">
        <x:v>官方本款全高约值（含头）</x:v>
      </x:c>
      <x:c r="H57" s="17" t="str">
        <x:v>布衣穿脱</x:v>
      </x:c>
      <x:c r="I57" s="18" t="str">
        <x:v>PVC、ABS、布料</x:v>
      </x:c>
      <x:c r="J57" s="19" t="str">
        <x:v>原创人偶</x:v>
      </x:c>
      <x:c r="K57" s="11" t="str">
        <x:v>CCSgirl 24AW ruruko PS</x:v>
      </x:c>
      <x:c r="L57" s="11" t="str">
        <x:v>日本</x:v>
      </x:c>
      <x:c r="M57" s="11" t="str">
        <x:v>MADE IN JAPAN（ボディは中国製、衣装はベトナム製です）</x:v>
      </x:c>
      <x:c r="N57" s="11" t="str">
        <x:v>官方独立商品页所列版本；PS／Azone 等限定版本分别记录。</x:v>
      </x:c>
      <x:c r="O57" s="11" t="str">
        <x:v>高度 22 cm（官方本款全高约值（含头））</x:v>
      </x:c>
      <x:c r="P57" s="11" t="str">
        <x:v>使用素体：PW別注ピュアニーモフレクションXS/フル可動
本款内容：ruruko本体、ビスチェ、リボンいっぱいブラウス、フリルミニスカート、ショーツ、リボンソックス、リボンビジューカチューシャ、ストラップシューズ（STOC）。
生产与保养口径：来源按本款注明本体、身体及衣装的产地分别保留。深色服装可能移色，拆装部件应遵循页面注意事项；不同批次不共用产地结论。</x:v>
      </x:c>
      <x:c r="Q57" s="11" t="str">
        <x:v>未取得产品对应证据</x:v>
      </x:c>
      <x:c r="R57" s="11" t="str">
        <x:v>2026-10-05</x:v>
      </x:c>
      <x:c r="S57" s="11" t="str">
        <x:v>ruruko-9198</x:v>
      </x:c>
      <x:c r="T57" s="11" t="str">
        <x:v>https://www.petworks.co.jp/doll/ruruko/9198/</x:v>
      </x:c>
    </x:row>
    <x:row r="58" ht="110" customHeight="1">
      <x:c r="A58" s="11" t="str">
        <x:v>イースターバニー ruruko boy PS</x:v>
      </x:c>
      <x:c r="B58" s="11" t="str">
        <x:v>PetWORKs</x:v>
      </x:c>
      <x:c r="C58" s="12" t="str">
        <x:v>关节可动</x:v>
      </x:c>
      <x:c r="D58" s="13" t="str">
        <x:v>成品含服</x:v>
      </x:c>
      <x:c r="E58" s="20" t="str">
        <x:v>未披露</x:v>
      </x:c>
      <x:c r="F58" s="21" t="n">
        <x:v>230</x:v>
      </x:c>
      <x:c r="G58" s="16" t="str">
        <x:v>官方本款全高约值（含头）</x:v>
      </x:c>
      <x:c r="H58" s="17" t="str">
        <x:v>布衣穿脱</x:v>
      </x:c>
      <x:c r="I58" s="18" t="str">
        <x:v>PVC、ABS、布料</x:v>
      </x:c>
      <x:c r="J58" s="19" t="str">
        <x:v>原创人偶</x:v>
      </x:c>
      <x:c r="K58" s="11" t="str">
        <x:v>イースターバニー ruruko boy PS</x:v>
      </x:c>
      <x:c r="L58" s="11" t="str">
        <x:v>日本</x:v>
      </x:c>
      <x:c r="M58" s="11" t="str">
        <x:v>MADE IN JAPAN（ボディと衣装は中国製です）</x:v>
      </x:c>
      <x:c r="N58" s="11" t="str">
        <x:v>官方独立商品页所列版本；PS／Azone 等限定版本分别记录。</x:v>
      </x:c>
      <x:c r="O58" s="11" t="str">
        <x:v>高度 23 cm（官方本款全高约值（含头））</x:v>
      </x:c>
      <x:c r="P58" s="11" t="str">
        <x:v>使用素体：ピュアニーモフレクションS/男の子/フル可動
本款内容：ruruko本体、うさみみニットきぐるみ
生产与保养口径：来源按本款注明本体、身体及衣装的产地分别保留。深色服装可能移色，拆装部件应遵循页面注意事项；不同批次不共用产地结论。</x:v>
      </x:c>
      <x:c r="Q58" s="11" t="str">
        <x:v>未取得产品对应证据</x:v>
      </x:c>
      <x:c r="R58" s="11" t="str">
        <x:v>2026-10-05</x:v>
      </x:c>
      <x:c r="S58" s="11" t="str">
        <x:v>ruruko-9124</x:v>
      </x:c>
      <x:c r="T58" s="11" t="str">
        <x:v>https://www.petworks.co.jp/doll/ruruko/9124/</x:v>
      </x:c>
    </x:row>
    <x:row r="59" ht="110" customHeight="1">
      <x:c r="A59" s="11" t="str">
        <x:v>イースターバニー ruruko girl PS</x:v>
      </x:c>
      <x:c r="B59" s="11" t="str">
        <x:v>PetWORKs</x:v>
      </x:c>
      <x:c r="C59" s="12" t="str">
        <x:v>关节可动</x:v>
      </x:c>
      <x:c r="D59" s="13" t="str">
        <x:v>成品含服</x:v>
      </x:c>
      <x:c r="E59" s="20" t="str">
        <x:v>未披露</x:v>
      </x:c>
      <x:c r="F59" s="21" t="n">
        <x:v>220</x:v>
      </x:c>
      <x:c r="G59" s="16" t="str">
        <x:v>官方本款全高约值（含头）</x:v>
      </x:c>
      <x:c r="H59" s="17" t="str">
        <x:v>布衣穿脱</x:v>
      </x:c>
      <x:c r="I59" s="18" t="str">
        <x:v>PVC、ABS、布料</x:v>
      </x:c>
      <x:c r="J59" s="19" t="str">
        <x:v>原创人偶</x:v>
      </x:c>
      <x:c r="K59" s="11" t="str">
        <x:v>イースターバニー ruruko girl PS</x:v>
      </x:c>
      <x:c r="L59" s="11" t="str">
        <x:v>日本</x:v>
      </x:c>
      <x:c r="M59" s="11" t="str">
        <x:v>MADE IN JAPAN（ボディは中国製、衣装はベトナム製です）</x:v>
      </x:c>
      <x:c r="N59" s="11" t="str">
        <x:v>官方独立商品页所列版本；PS／Azone 等限定版本分别记录。</x:v>
      </x:c>
      <x:c r="O59" s="11" t="str">
        <x:v>高度 22 cm（官方本款全高约值（含头））</x:v>
      </x:c>
      <x:c r="P59" s="11" t="str">
        <x:v>使用素体：PW別注ピュアニーモフレクションXS/フル可動
本款内容：ruruko本体、ワンピース、リボンベルト、ドロワーズ、ヘッドリボン、ボタンアップブーツ（STOC）
生产与保养口径：来源按本款注明本体、身体及衣装的产地分别保留。深色服装可能移色，拆装部件应遵循页面注意事项；不同批次不共用产地结论。</x:v>
      </x:c>
      <x:c r="Q59" s="11" t="str">
        <x:v>未取得产品对应证据</x:v>
      </x:c>
      <x:c r="R59" s="11" t="str">
        <x:v>2026-10-05</x:v>
      </x:c>
      <x:c r="S59" s="11" t="str">
        <x:v>ruruko-9127</x:v>
      </x:c>
      <x:c r="T59" s="11" t="str">
        <x:v>https://www.petworks.co.jp/doll/ruruko/9127/</x:v>
      </x:c>
    </x:row>
    <x:row r="60" ht="110" customHeight="1">
      <x:c r="A60" s="11" t="str">
        <x:v>CCSgirl 25SS ruruko</x:v>
      </x:c>
      <x:c r="B60" s="11" t="str">
        <x:v>PetWORKs</x:v>
      </x:c>
      <x:c r="C60" s="12" t="str">
        <x:v>关节可动</x:v>
      </x:c>
      <x:c r="D60" s="13" t="str">
        <x:v>成品含服</x:v>
      </x:c>
      <x:c r="E60" s="20" t="str">
        <x:v>未披露</x:v>
      </x:c>
      <x:c r="F60" s="21" t="n">
        <x:v>220</x:v>
      </x:c>
      <x:c r="G60" s="16" t="str">
        <x:v>官方本款全高约值（含头）</x:v>
      </x:c>
      <x:c r="H60" s="17" t="str">
        <x:v>布衣穿脱</x:v>
      </x:c>
      <x:c r="I60" s="18" t="str">
        <x:v>PVC、ABS、布料</x:v>
      </x:c>
      <x:c r="J60" s="19" t="str">
        <x:v>原创人偶</x:v>
      </x:c>
      <x:c r="K60" s="11" t="str">
        <x:v>CCSgirl 25SS ruruko</x:v>
      </x:c>
      <x:c r="L60" s="11" t="str">
        <x:v>日本</x:v>
      </x:c>
      <x:c r="M60" s="11" t="str">
        <x:v>MADE IN JAPAN（ボディは中国製、衣装はベトナム製です）</x:v>
      </x:c>
      <x:c r="N60" s="11" t="str">
        <x:v>官方独立商品页所列版本；PS／Azone 等限定版本分别记录。</x:v>
      </x:c>
      <x:c r="O60" s="11" t="str">
        <x:v>高度 22 cm（官方本款全高约值（含头））</x:v>
      </x:c>
      <x:c r="P60" s="11" t="str">
        <x:v>使用素体：PW別注ピュアニーモフレクションXS/フル可動
本款内容：ruruko本体、ワンピース、ドロワーズ、リボンハーネス、リボン、ソックス、ストラップシューズ（STOC）。
生产与保养口径：来源按本款注明本体、身体及衣装的产地分别保留。深色服装可能移色，拆装部件应遵循页面注意事项；不同批次不共用产地结论。</x:v>
      </x:c>
      <x:c r="Q60" s="11" t="str">
        <x:v>未取得产品对应证据</x:v>
      </x:c>
      <x:c r="R60" s="11" t="str">
        <x:v>2026-10-05</x:v>
      </x:c>
      <x:c r="S60" s="11" t="str">
        <x:v>ruruko-9028</x:v>
      </x:c>
      <x:c r="T60" s="11" t="str">
        <x:v>https://www.petworks.co.jp/doll/ruruko/9028/</x:v>
      </x:c>
    </x:row>
    <x:row r="61" ht="110" customHeight="1">
      <x:c r="A61" s="11" t="str">
        <x:v>Phantom · 裸娃</x:v>
      </x:c>
      <x:c r="B61" s="11" t="str">
        <x:v>DollZone</x:v>
      </x:c>
      <x:c r="C61" s="12" t="str">
        <x:v>球体关节</x:v>
      </x:c>
      <x:c r="D61" s="13" t="str">
        <x:v>裸娃成品</x:v>
      </x:c>
      <x:c r="E61" s="20" t="str">
        <x:v>比例 1:3</x:v>
      </x:c>
      <x:c r="F61" s="21"/>
      <x:c r="G61" s="16" t="str">
        <x:v>未披露</x:v>
      </x:c>
      <x:c r="H61" s="17" t="str">
        <x:v>服装另配</x:v>
      </x:c>
      <x:c r="I61" s="18" t="str">
        <x:v>材料未披露</x:v>
      </x:c>
      <x:c r="J61" s="19" t="str">
        <x:v>原创人偶</x:v>
      </x:c>
      <x:c r="K61" s="11" t="str">
        <x:v>【Pre-sale】DollZone Phantom 1/3 Doll Full Set/nude doll/head Presale SD Doll  Spherical joint Dolls</x:v>
      </x:c>
      <x:c r="L61" s="11" t="str">
        <x:v>中国</x:v>
      </x:c>
      <x:c r="M61" s="11" t="str">
        <x:v>未披露</x:v>
      </x:c>
      <x:c r="N61" s="11" t="str">
        <x:v>按官网销售选项记录裸娃／素体；肤色、妆面、头部和全套选项不混作同一交付版本。</x:v>
      </x:c>
      <x:c r="O61" s="11" t="str">
        <x:v>未披露</x:v>
      </x:c>
      <x:c r="P61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1" s="11" t="str">
        <x:v>未取得产品对应证据</x:v>
      </x:c>
      <x:c r="R61" s="11" t="str">
        <x:v>2026-10-05</x:v>
      </x:c>
      <x:c r="S61" s="11" t="str">
        <x:v>dollzone-1-3-doll-pre-saledollzone-phantom-1-3-doll-full-set-nude-doll-head-presale-sd-doll-spherical-joint-</x:v>
      </x:c>
      <x:c r="T61" s="11" t="str">
        <x:v>https://doll-zone.com/products/pre-saledollzone-phantom-1-3-doll-full-set-nude-doll-head-presale-sd-doll-spherical-joint-dolls</x:v>
      </x:c>
    </x:row>
    <x:row r="62" ht="110" customHeight="1">
      <x:c r="A62" s="11" t="str">
        <x:v>SUN · 裸娃</x:v>
      </x:c>
      <x:c r="B62" s="11" t="str">
        <x:v>DollZone</x:v>
      </x:c>
      <x:c r="C62" s="12" t="str">
        <x:v>球体关节</x:v>
      </x:c>
      <x:c r="D62" s="13" t="str">
        <x:v>裸娃成品</x:v>
      </x:c>
      <x:c r="E62" s="20" t="str">
        <x:v>比例 1:3</x:v>
      </x:c>
      <x:c r="F62" s="21"/>
      <x:c r="G62" s="16" t="str">
        <x:v>未披露</x:v>
      </x:c>
      <x:c r="H62" s="17" t="str">
        <x:v>服装另配</x:v>
      </x:c>
      <x:c r="I62" s="18" t="str">
        <x:v>材料未披露</x:v>
      </x:c>
      <x:c r="J62" s="19" t="str">
        <x:v>原创人偶</x:v>
      </x:c>
      <x:c r="K62" s="11" t="str">
        <x:v>【Pre-sale】DollZone SUN 1/3 Doll Full Set/nude doll/head Presale SD Doll  Spherical joint Dolls</x:v>
      </x:c>
      <x:c r="L62" s="11" t="str">
        <x:v>中国</x:v>
      </x:c>
      <x:c r="M62" s="11" t="str">
        <x:v>未披露</x:v>
      </x:c>
      <x:c r="N62" s="11" t="str">
        <x:v>按官网销售选项记录裸娃／素体；肤色、妆面、头部和全套选项不混作同一交付版本。</x:v>
      </x:c>
      <x:c r="O62" s="11" t="str">
        <x:v>未披露</x:v>
      </x:c>
      <x:c r="P62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2" s="11" t="str">
        <x:v>未取得产品对应证据</x:v>
      </x:c>
      <x:c r="R62" s="11" t="str">
        <x:v>2026-10-05</x:v>
      </x:c>
      <x:c r="S62" s="11" t="str">
        <x:v>dollzone-1-3-doll-pre-saledollzone-sun-1-3-doll-full-set-nude-doll-head-presale-sd-doll-spherical-joint-doll</x:v>
      </x:c>
      <x:c r="T62" s="11" t="str">
        <x:v>https://doll-zone.com/products/pre-saledollzone-sun-1-3-doll-full-set-nude-doll-head-presale-sd-doll-spherical-joint-dolls</x:v>
      </x:c>
    </x:row>
    <x:row r="63" ht="110" customHeight="1">
      <x:c r="A63" s="11" t="str">
        <x:v>Gorgon · 裸娃</x:v>
      </x:c>
      <x:c r="B63" s="11" t="str">
        <x:v>DollZone</x:v>
      </x:c>
      <x:c r="C63" s="12" t="str">
        <x:v>球体关节</x:v>
      </x:c>
      <x:c r="D63" s="13" t="str">
        <x:v>裸娃成品</x:v>
      </x:c>
      <x:c r="E63" s="20" t="str">
        <x:v>比例 1:3</x:v>
      </x:c>
      <x:c r="F63" s="21"/>
      <x:c r="G63" s="16" t="str">
        <x:v>未披露</x:v>
      </x:c>
      <x:c r="H63" s="17" t="str">
        <x:v>服装另配</x:v>
      </x:c>
      <x:c r="I63" s="18" t="str">
        <x:v>材料未披露</x:v>
      </x:c>
      <x:c r="J63" s="19" t="str">
        <x:v>原创人偶</x:v>
      </x:c>
      <x:c r="K63" s="11" t="str">
        <x:v>【Pre-sale】DollZone Gorgon 1/3 Doll Full Set/nude doll/head Presale SD Doll  Spherical joint Dolls</x:v>
      </x:c>
      <x:c r="L63" s="11" t="str">
        <x:v>中国</x:v>
      </x:c>
      <x:c r="M63" s="11" t="str">
        <x:v>未披露</x:v>
      </x:c>
      <x:c r="N63" s="11" t="str">
        <x:v>按官网销售选项记录裸娃／素体；肤色、妆面、头部和全套选项不混作同一交付版本。</x:v>
      </x:c>
      <x:c r="O63" s="11" t="str">
        <x:v>未披露</x:v>
      </x:c>
      <x:c r="P63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3" s="11" t="str">
        <x:v>未取得产品对应证据</x:v>
      </x:c>
      <x:c r="R63" s="11" t="str">
        <x:v>2026-10-05</x:v>
      </x:c>
      <x:c r="S63" s="11" t="str">
        <x:v>dollzone-1-3-doll-pre-saledollzone-gorgon-1-3-doll-full-set-nude-doll-head-presale-sd-doll-spherical-joint-d</x:v>
      </x:c>
      <x:c r="T63" s="11" t="str">
        <x:v>https://doll-zone.com/products/pre-saledollzone-gorgon-1-3-doll-full-set-nude-doll-head-presale-sd-doll-spherical-joint-dolls</x:v>
      </x:c>
    </x:row>
    <x:row r="64" ht="110" customHeight="1">
      <x:c r="A64" s="11" t="str">
        <x:v>Rock · 裸娃</x:v>
      </x:c>
      <x:c r="B64" s="11" t="str">
        <x:v>DollZone</x:v>
      </x:c>
      <x:c r="C64" s="12" t="str">
        <x:v>球体关节</x:v>
      </x:c>
      <x:c r="D64" s="13" t="str">
        <x:v>裸娃成品</x:v>
      </x:c>
      <x:c r="E64" s="20" t="str">
        <x:v>比例 1:3</x:v>
      </x:c>
      <x:c r="F64" s="21" t="n">
        <x:v>750</x:v>
      </x:c>
      <x:c r="G64" s="16" t="str">
        <x:v>官方商品标题标称；是否含头未披露</x:v>
      </x:c>
      <x:c r="H64" s="17" t="str">
        <x:v>服装另配</x:v>
      </x:c>
      <x:c r="I64" s="18" t="str">
        <x:v>材料未披露</x:v>
      </x:c>
      <x:c r="J64" s="19" t="str">
        <x:v>原创人偶</x:v>
      </x:c>
      <x:c r="K64" s="11" t="str">
        <x:v>【Pre-sale】DollZone Rock 1/3 Cooperation Description Doll Full Set/nude doll  Presale SD Doll 75cm Spherical joint Dolls</x:v>
      </x:c>
      <x:c r="L64" s="11" t="str">
        <x:v>中国</x:v>
      </x:c>
      <x:c r="M64" s="11" t="str">
        <x:v>未披露</x:v>
      </x:c>
      <x:c r="N64" s="11" t="str">
        <x:v>按官网销售选项记录裸娃／素体；肤色、妆面、头部和全套选项不混作同一交付版本。</x:v>
      </x:c>
      <x:c r="O64" s="11" t="str">
        <x:v>标称 75 cm（官方商品标题；身体是否含头与测量姿势未披露）</x:v>
      </x:c>
      <x:c r="P64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4" s="11" t="str">
        <x:v>未取得产品对应证据</x:v>
      </x:c>
      <x:c r="R64" s="11" t="str">
        <x:v>2026-10-05</x:v>
      </x:c>
      <x:c r="S64" s="11" t="str">
        <x:v>dollzone-1-3-doll--pre-sale-dollzone-rock-1-3-cooperation-description-doll-full-set-nude-doll-presale-sd-dol</x:v>
      </x:c>
      <x:c r="T64" s="11" t="str">
        <x:v>https://doll-zone.com/products/%E3%80%90pre-sale%E3%80%91dollzone-rock-1-3-cooperation-description-doll-full-set-nude-doll-presale-sd-doll-75cm-spherical-joint-dolls</x:v>
      </x:c>
    </x:row>
    <x:row r="65" ht="110" customHeight="1">
      <x:c r="A65" s="11" t="str">
        <x:v>Light · 裸娃</x:v>
      </x:c>
      <x:c r="B65" s="11" t="str">
        <x:v>DollZone</x:v>
      </x:c>
      <x:c r="C65" s="12" t="str">
        <x:v>球体关节</x:v>
      </x:c>
      <x:c r="D65" s="13" t="str">
        <x:v>裸娃成品</x:v>
      </x:c>
      <x:c r="E65" s="20" t="str">
        <x:v>比例 1:3</x:v>
      </x:c>
      <x:c r="F65" s="21" t="n">
        <x:v>730</x:v>
      </x:c>
      <x:c r="G65" s="16" t="str">
        <x:v>官方商品标题标称；是否含头未披露</x:v>
      </x:c>
      <x:c r="H65" s="17" t="str">
        <x:v>服装另配</x:v>
      </x:c>
      <x:c r="I65" s="18" t="str">
        <x:v>材料未披露</x:v>
      </x:c>
      <x:c r="J65" s="19" t="str">
        <x:v>原创人偶</x:v>
      </x:c>
      <x:c r="K65" s="11" t="str">
        <x:v>【Pre-sale】DollZone Light 1/3 Cooperation Description Doll Full Set Presale SD Doll 73cm Spherical joint Dolls</x:v>
      </x:c>
      <x:c r="L65" s="11" t="str">
        <x:v>中国</x:v>
      </x:c>
      <x:c r="M65" s="11" t="str">
        <x:v>未披露</x:v>
      </x:c>
      <x:c r="N65" s="11" t="str">
        <x:v>按官网销售选项记录裸娃／素体；肤色、妆面、头部和全套选项不混作同一交付版本。</x:v>
      </x:c>
      <x:c r="O65" s="11" t="str">
        <x:v>标称 73 cm（官方商品标题；身体是否含头与测量姿势未披露）</x:v>
      </x:c>
      <x:c r="P65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5" s="11" t="str">
        <x:v>未取得产品对应证据</x:v>
      </x:c>
      <x:c r="R65" s="11" t="str">
        <x:v>2026-10-05</x:v>
      </x:c>
      <x:c r="S65" s="11" t="str">
        <x:v>dollzone-1-3-doll--pre-sale-dollzone-light-1-3-cooperation-description-doll-full-set-presale-sd-doll-73cm-sp</x:v>
      </x:c>
      <x:c r="T65" s="11" t="str">
        <x:v>https://doll-zone.com/products/%E3%80%90pre-sale%E3%80%91dollzone-light-1-3-cooperation-description-doll-full-set-presale-sd-doll-73cm-spherical-joint-dolls</x:v>
      </x:c>
    </x:row>
    <x:row r="66" ht="110" customHeight="1">
      <x:c r="A66" s="11" t="str">
        <x:v>Troy · 裸娃</x:v>
      </x:c>
      <x:c r="B66" s="11" t="str">
        <x:v>DollZone</x:v>
      </x:c>
      <x:c r="C66" s="12" t="str">
        <x:v>球体关节</x:v>
      </x:c>
      <x:c r="D66" s="13" t="str">
        <x:v>裸娃成品</x:v>
      </x:c>
      <x:c r="E66" s="20" t="str">
        <x:v>比例 1:3</x:v>
      </x:c>
      <x:c r="F66" s="21" t="n">
        <x:v>730</x:v>
      </x:c>
      <x:c r="G66" s="16" t="str">
        <x:v>官方商品标题标称；是否含头未披露</x:v>
      </x:c>
      <x:c r="H66" s="17" t="str">
        <x:v>服装另配</x:v>
      </x:c>
      <x:c r="I66" s="18" t="str">
        <x:v>材料未披露</x:v>
      </x:c>
      <x:c r="J66" s="19" t="str">
        <x:v>原创人偶</x:v>
      </x:c>
      <x:c r="K66" s="11" t="str">
        <x:v>【Pre-sale】DollZone Troy 1/3 Cooperation Description Doll Full Set/nude doll  Presale SD Doll 73cm Spherical joint Dolls</x:v>
      </x:c>
      <x:c r="L66" s="11" t="str">
        <x:v>中国</x:v>
      </x:c>
      <x:c r="M66" s="11" t="str">
        <x:v>未披露</x:v>
      </x:c>
      <x:c r="N66" s="11" t="str">
        <x:v>按官网销售选项记录裸娃／素体；肤色、妆面、头部和全套选项不混作同一交付版本。</x:v>
      </x:c>
      <x:c r="O66" s="11" t="str">
        <x:v>标称 73 cm（官方商品标题；身体是否含头与测量姿势未披露）</x:v>
      </x:c>
      <x:c r="P66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6" s="11" t="str">
        <x:v>未取得产品对应证据</x:v>
      </x:c>
      <x:c r="R66" s="11" t="str">
        <x:v>2026-10-05</x:v>
      </x:c>
      <x:c r="S66" s="11" t="str">
        <x:v>dollzone-1-3-doll--pre-sale-dollzone-troy-1-3-cooperation-description-doll-full-set-nude-doll-presale-sd-dol</x:v>
      </x:c>
      <x:c r="T66" s="11" t="str">
        <x:v>https://doll-zone.com/products/%E3%80%90pre-sale%E3%80%91dollzone-troy-1-3-cooperation-description-doll-full-set-nude-doll-presale-sd-doll-73cm-spherical-joint-dolls</x:v>
      </x:c>
    </x:row>
    <x:row r="67" ht="110" customHeight="1">
      <x:c r="A67" s="11" t="str">
        <x:v>Nona · 裸娃</x:v>
      </x:c>
      <x:c r="B67" s="11" t="str">
        <x:v>DollZone</x:v>
      </x:c>
      <x:c r="C67" s="12" t="str">
        <x:v>球体关节</x:v>
      </x:c>
      <x:c r="D67" s="13" t="str">
        <x:v>裸娃成品</x:v>
      </x:c>
      <x:c r="E67" s="20" t="str">
        <x:v>比例 1:3</x:v>
      </x:c>
      <x:c r="F67" s="21" t="n">
        <x:v>700</x:v>
      </x:c>
      <x:c r="G67" s="16" t="str">
        <x:v>官方商品标题标称；是否含头未披露</x:v>
      </x:c>
      <x:c r="H67" s="17" t="str">
        <x:v>服装另配</x:v>
      </x:c>
      <x:c r="I67" s="18" t="str">
        <x:v>材料未披露</x:v>
      </x:c>
      <x:c r="J67" s="19" t="str">
        <x:v>原创人偶</x:v>
      </x:c>
      <x:c r="K67" s="11" t="str">
        <x:v>【Pre-sale】DollZone Nona 1/3 Cooperation Description Doll Full Set Presale SD Doll 70cm Spherical joint Dolls</x:v>
      </x:c>
      <x:c r="L67" s="11" t="str">
        <x:v>中国</x:v>
      </x:c>
      <x:c r="M67" s="11" t="str">
        <x:v>未披露</x:v>
      </x:c>
      <x:c r="N67" s="11" t="str">
        <x:v>按官网销售选项记录裸娃／素体；肤色、妆面、头部和全套选项不混作同一交付版本。</x:v>
      </x:c>
      <x:c r="O67" s="11" t="str">
        <x:v>标称 70 cm（官方商品标题；身体是否含头与测量姿势未披露）</x:v>
      </x:c>
      <x:c r="P67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7" s="11" t="str">
        <x:v>未取得产品对应证据</x:v>
      </x:c>
      <x:c r="R67" s="11" t="str">
        <x:v>2026-10-05</x:v>
      </x:c>
      <x:c r="S67" s="11" t="str">
        <x:v>dollzone-1-3-doll--pre-sale-dollzone-nona-1-3-cooperation-description-doll-full-set-presale-sd-doll-70cm-sph</x:v>
      </x:c>
      <x:c r="T67" s="11" t="str">
        <x:v>https://doll-zone.com/products/%E3%80%90pre-sale%E3%80%91dollzone-nona-1-3-cooperation-description-doll-full-set-presale-sd-doll-70cm-spherical-joint-dolls</x:v>
      </x:c>
    </x:row>
    <x:row r="68" ht="110" customHeight="1">
      <x:c r="A68" s="11" t="str">
        <x:v>moon · 裸娃</x:v>
      </x:c>
      <x:c r="B68" s="11" t="str">
        <x:v>DollZone</x:v>
      </x:c>
      <x:c r="C68" s="12" t="str">
        <x:v>球体关节</x:v>
      </x:c>
      <x:c r="D68" s="13" t="str">
        <x:v>裸娃成品</x:v>
      </x:c>
      <x:c r="E68" s="20" t="str">
        <x:v>比例 1:3</x:v>
      </x:c>
      <x:c r="F68" s="21" t="n">
        <x:v>730</x:v>
      </x:c>
      <x:c r="G68" s="16" t="str">
        <x:v>官方商品标题标称；是否含头未披露</x:v>
      </x:c>
      <x:c r="H68" s="17" t="str">
        <x:v>服装另配</x:v>
      </x:c>
      <x:c r="I68" s="18" t="str">
        <x:v>材料未披露</x:v>
      </x:c>
      <x:c r="J68" s="19" t="str">
        <x:v>原创人偶</x:v>
      </x:c>
      <x:c r="K68" s="11" t="str">
        <x:v>【Pre-sale】DollZone moon 1/3 Cooperation Description Doll Full Set Presale SD Doll 73cm Spherical joint Dolls</x:v>
      </x:c>
      <x:c r="L68" s="11" t="str">
        <x:v>中国</x:v>
      </x:c>
      <x:c r="M68" s="11" t="str">
        <x:v>未披露</x:v>
      </x:c>
      <x:c r="N68" s="11" t="str">
        <x:v>按官网销售选项记录裸娃／素体；肤色、妆面、头部和全套选项不混作同一交付版本。</x:v>
      </x:c>
      <x:c r="O68" s="11" t="str">
        <x:v>标称 73 cm（官方商品标题；身体是否含头与测量姿势未披露）</x:v>
      </x:c>
      <x:c r="P68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8" s="11" t="str">
        <x:v>未取得产品对应证据</x:v>
      </x:c>
      <x:c r="R68" s="11" t="str">
        <x:v>2026-10-05</x:v>
      </x:c>
      <x:c r="S68" s="11" t="str">
        <x:v>dollzone-1-3-doll--pre-sale-dollzone-moon-1-3-cooperation-description-doll-full-set-presale-sd-doll-73cm-sph</x:v>
      </x:c>
      <x:c r="T68" s="11" t="str">
        <x:v>https://doll-zone.com/products/%E3%80%90pre-sale%E3%80%91dollzone-moon-1-3-cooperation-description-doll-full-set-presale-sd-doll-73cm-spherical-joint-dolls</x:v>
      </x:c>
    </x:row>
    <x:row r="69" ht="110" customHeight="1">
      <x:c r="A69" s="11" t="str">
        <x:v>75 Gray · 裸娃</x:v>
      </x:c>
      <x:c r="B69" s="11" t="str">
        <x:v>DollZone</x:v>
      </x:c>
      <x:c r="C69" s="12" t="str">
        <x:v>球体关节</x:v>
      </x:c>
      <x:c r="D69" s="13" t="str">
        <x:v>裸娃成品</x:v>
      </x:c>
      <x:c r="E69" s="20" t="str">
        <x:v>比例 1:3</x:v>
      </x:c>
      <x:c r="F69" s="21" t="n">
        <x:v>750</x:v>
      </x:c>
      <x:c r="G69" s="16" t="str">
        <x:v>官方商品标题标称；是否含头未披露</x:v>
      </x:c>
      <x:c r="H69" s="17" t="str">
        <x:v>服装另配</x:v>
      </x:c>
      <x:c r="I69" s="18" t="str">
        <x:v>材料未披露</x:v>
      </x:c>
      <x:c r="J69" s="19" t="str">
        <x:v>原创人偶</x:v>
      </x:c>
      <x:c r="K69" s="11" t="str">
        <x:v>【Pre-sale】DollZone 75 Gray 1/3 Doll Full Set Presale SD Doll 75cm Spherical joint Dolls</x:v>
      </x:c>
      <x:c r="L69" s="11" t="str">
        <x:v>中国</x:v>
      </x:c>
      <x:c r="M69" s="11" t="str">
        <x:v>未披露</x:v>
      </x:c>
      <x:c r="N69" s="11" t="str">
        <x:v>按官网销售选项记录裸娃／素体；肤色、妆面、头部和全套选项不混作同一交付版本。</x:v>
      </x:c>
      <x:c r="O69" s="11" t="str">
        <x:v>标称 75 cm（官方商品标题；身体是否含头与测量姿势未披露）</x:v>
      </x:c>
      <x:c r="P69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69" s="11" t="str">
        <x:v>未取得产品对应证据</x:v>
      </x:c>
      <x:c r="R69" s="11" t="str">
        <x:v>2026-10-05</x:v>
      </x:c>
      <x:c r="S69" s="11" t="str">
        <x:v>dollzone-1-3-doll-dollzone-75-gray</x:v>
      </x:c>
      <x:c r="T69" s="11" t="str">
        <x:v>https://doll-zone.com/products/dollzone-75-gray</x:v>
      </x:c>
    </x:row>
    <x:row r="70" ht="110" customHeight="1">
      <x:c r="A70" s="11" t="str">
        <x:v>Evan · 裸娃</x:v>
      </x:c>
      <x:c r="B70" s="11" t="str">
        <x:v>DollZone</x:v>
      </x:c>
      <x:c r="C70" s="12" t="str">
        <x:v>球体关节</x:v>
      </x:c>
      <x:c r="D70" s="13" t="str">
        <x:v>裸娃成品</x:v>
      </x:c>
      <x:c r="E70" s="20" t="str">
        <x:v>比例 1:3</x:v>
      </x:c>
      <x:c r="F70" s="21" t="n">
        <x:v>750</x:v>
      </x:c>
      <x:c r="G70" s="16" t="str">
        <x:v>官方商品标题标称；是否含头未披露</x:v>
      </x:c>
      <x:c r="H70" s="17" t="str">
        <x:v>服装另配</x:v>
      </x:c>
      <x:c r="I70" s="18" t="str">
        <x:v>材料未披露</x:v>
      </x:c>
      <x:c r="J70" s="19" t="str">
        <x:v>原创人偶</x:v>
      </x:c>
      <x:c r="K70" s="11" t="str">
        <x:v>【Pre-sale】DollZone Evan 1/3 Doll Full Set Presale SD Doll 75cm Spherical joint Dolls</x:v>
      </x:c>
      <x:c r="L70" s="11" t="str">
        <x:v>中国</x:v>
      </x:c>
      <x:c r="M70" s="11" t="str">
        <x:v>未披露</x:v>
      </x:c>
      <x:c r="N70" s="11" t="str">
        <x:v>按官网销售选项记录裸娃／素体；肤色、妆面、头部和全套选项不混作同一交付版本。</x:v>
      </x:c>
      <x:c r="O70" s="11" t="str">
        <x:v>标称 75 cm（官方商品标题；身体是否含头与测量姿势未披露）</x:v>
      </x:c>
      <x:c r="P70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0" s="11" t="str">
        <x:v>未取得产品对应证据</x:v>
      </x:c>
      <x:c r="R70" s="11" t="str">
        <x:v>2026-10-05</x:v>
      </x:c>
      <x:c r="S70" s="11" t="str">
        <x:v>dollzone-1-3-doll-evan</x:v>
      </x:c>
      <x:c r="T70" s="11" t="str">
        <x:v>https://doll-zone.com/products/evan</x:v>
      </x:c>
    </x:row>
    <x:row r="71" ht="110" customHeight="1">
      <x:c r="A71" s="11" t="str">
        <x:v>Rosa · 裸娃</x:v>
      </x:c>
      <x:c r="B71" s="11" t="str">
        <x:v>DollZone</x:v>
      </x:c>
      <x:c r="C71" s="12" t="str">
        <x:v>球体关节</x:v>
      </x:c>
      <x:c r="D71" s="13" t="str">
        <x:v>裸娃成品</x:v>
      </x:c>
      <x:c r="E71" s="20" t="str">
        <x:v>比例 1:4</x:v>
      </x:c>
      <x:c r="F71" s="21"/>
      <x:c r="G71" s="16" t="str">
        <x:v>未披露</x:v>
      </x:c>
      <x:c r="H71" s="17" t="str">
        <x:v>服装另配</x:v>
      </x:c>
      <x:c r="I71" s="18" t="str">
        <x:v>材料未披露</x:v>
      </x:c>
      <x:c r="J71" s="19" t="str">
        <x:v>原创人偶</x:v>
      </x:c>
      <x:c r="K71" s="11" t="str">
        <x:v>【Pre-sale】DollZone Rosa 1/4  Doll Full Set/nude doll/head Presale SD Doll  Spherical joint Dolls</x:v>
      </x:c>
      <x:c r="L71" s="11" t="str">
        <x:v>中国</x:v>
      </x:c>
      <x:c r="M71" s="11" t="str">
        <x:v>未披露</x:v>
      </x:c>
      <x:c r="N71" s="11" t="str">
        <x:v>按官网销售选项记录裸娃／素体；肤色、妆面、头部和全套选项不混作同一交付版本。</x:v>
      </x:c>
      <x:c r="O71" s="11" t="str">
        <x:v>未披露</x:v>
      </x:c>
      <x:c r="P71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1" s="11" t="str">
        <x:v>未取得产品对应证据</x:v>
      </x:c>
      <x:c r="R71" s="11" t="str">
        <x:v>2026-10-05</x:v>
      </x:c>
      <x:c r="S71" s="11" t="str">
        <x:v>dollzone-1-4-doll--pre-sale-dollzone-rosa-1-4-doll-full-set-nude-doll-head-presale-sd-doll-spherical-joint-d</x:v>
      </x:c>
      <x:c r="T71" s="11" t="str">
        <x:v>https://doll-zone.com/products/%E3%80%90pre-sale%E3%80%91dollzone-rosa-1-4-doll-full-set-nude-doll-head-presale-sd-doll-spherical-joint-dolls</x:v>
      </x:c>
    </x:row>
    <x:row r="72" ht="110" customHeight="1">
      <x:c r="A72" s="11" t="str">
        <x:v>XIAO YI · 裸娃</x:v>
      </x:c>
      <x:c r="B72" s="11" t="str">
        <x:v>DollZone</x:v>
      </x:c>
      <x:c r="C72" s="12" t="str">
        <x:v>球体关节</x:v>
      </x:c>
      <x:c r="D72" s="13" t="str">
        <x:v>裸娃成品</x:v>
      </x:c>
      <x:c r="E72" s="20" t="str">
        <x:v>比例 1:4</x:v>
      </x:c>
      <x:c r="F72" s="21" t="n">
        <x:v>450</x:v>
      </x:c>
      <x:c r="G72" s="16" t="str">
        <x:v>官方商品标题标称；是否含头未披露</x:v>
      </x:c>
      <x:c r="H72" s="17" t="str">
        <x:v>服装另配</x:v>
      </x:c>
      <x:c r="I72" s="18" t="str">
        <x:v>材料未披露</x:v>
      </x:c>
      <x:c r="J72" s="19" t="str">
        <x:v>原创人偶</x:v>
      </x:c>
      <x:c r="K72" s="11" t="str">
        <x:v>【Pre-sale】DollZone XIAO YI 1/4 Cooperation Description Doll Full Set/nude doll/head Presale SD Doll 45cm Spherical joint Dolls</x:v>
      </x:c>
      <x:c r="L72" s="11" t="str">
        <x:v>中国</x:v>
      </x:c>
      <x:c r="M72" s="11" t="str">
        <x:v>未披露</x:v>
      </x:c>
      <x:c r="N72" s="11" t="str">
        <x:v>按官网销售选项记录裸娃／素体；肤色、妆面、头部和全套选项不混作同一交付版本。</x:v>
      </x:c>
      <x:c r="O72" s="11" t="str">
        <x:v>标称 45 cm（官方商品标题；身体是否含头与测量姿势未披露）</x:v>
      </x:c>
      <x:c r="P72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2" s="11" t="str">
        <x:v>未取得产品对应证据</x:v>
      </x:c>
      <x:c r="R72" s="11" t="str">
        <x:v>2026-10-05</x:v>
      </x:c>
      <x:c r="S72" s="11" t="str">
        <x:v>dollzone-1-4-doll-pre-saledollzone-xiao-yi-1-4-cooperation-description-doll-full-set-nude-doll-head-presale-</x:v>
      </x:c>
      <x:c r="T72" s="11" t="str">
        <x:v>https://doll-zone.com/products/pre-saledollzone-xiao-yi-1-4-cooperation-description-doll-full-set-nude-doll-head-presale-sd-doll-45cm-spherical-joint-dolls</x:v>
      </x:c>
    </x:row>
    <x:row r="73" ht="110" customHeight="1">
      <x:c r="A73" s="11" t="str">
        <x:v>XIAO CHU · 裸娃</x:v>
      </x:c>
      <x:c r="B73" s="11" t="str">
        <x:v>DollZone</x:v>
      </x:c>
      <x:c r="C73" s="12" t="str">
        <x:v>球体关节</x:v>
      </x:c>
      <x:c r="D73" s="13" t="str">
        <x:v>裸娃成品</x:v>
      </x:c>
      <x:c r="E73" s="20" t="str">
        <x:v>比例 1:4</x:v>
      </x:c>
      <x:c r="F73" s="21" t="n">
        <x:v>450</x:v>
      </x:c>
      <x:c r="G73" s="16" t="str">
        <x:v>官方商品标题标称；是否含头未披露</x:v>
      </x:c>
      <x:c r="H73" s="17" t="str">
        <x:v>服装另配</x:v>
      </x:c>
      <x:c r="I73" s="18" t="str">
        <x:v>材料未披露</x:v>
      </x:c>
      <x:c r="J73" s="19" t="str">
        <x:v>原创人偶</x:v>
      </x:c>
      <x:c r="K73" s="11" t="str">
        <x:v>【Pre-sale】DollZone XIAO CHU 1/4 Cooperation Description Doll Full Set/nude doll/head Presale SD Doll 45cm Spherical joint Dolls</x:v>
      </x:c>
      <x:c r="L73" s="11" t="str">
        <x:v>中国</x:v>
      </x:c>
      <x:c r="M73" s="11" t="str">
        <x:v>未披露</x:v>
      </x:c>
      <x:c r="N73" s="11" t="str">
        <x:v>按官网销售选项记录裸娃／素体；肤色、妆面、头部和全套选项不混作同一交付版本。</x:v>
      </x:c>
      <x:c r="O73" s="11" t="str">
        <x:v>标称 45 cm（官方商品标题；身体是否含头与测量姿势未披露）</x:v>
      </x:c>
      <x:c r="P73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3" s="11" t="str">
        <x:v>未取得产品对应证据</x:v>
      </x:c>
      <x:c r="R73" s="11" t="str">
        <x:v>2026-10-05</x:v>
      </x:c>
      <x:c r="S73" s="11" t="str">
        <x:v>dollzone-1-4-doll--pre-sale-dollzone-xiao-chu-1-4-cooperation-description-doll-full-set-nude-doll-head-presa</x:v>
      </x:c>
      <x:c r="T73" s="11" t="str">
        <x:v>https://doll-zone.com/products/%E3%80%90pre-sale%E3%80%91dollzone-xiao-chu-1-4-cooperation-description-doll-full-set-nude-doll-head-presale-sd-doll-45cm-spherical-joint-dolls</x:v>
      </x:c>
    </x:row>
    <x:row r="74" ht="110" customHeight="1">
      <x:c r="A74" s="11" t="str">
        <x:v>The world · 裸娃</x:v>
      </x:c>
      <x:c r="B74" s="11" t="str">
        <x:v>DollZone</x:v>
      </x:c>
      <x:c r="C74" s="12" t="str">
        <x:v>球体关节</x:v>
      </x:c>
      <x:c r="D74" s="13" t="str">
        <x:v>裸娃成品</x:v>
      </x:c>
      <x:c r="E74" s="20" t="str">
        <x:v>比例 1:4</x:v>
      </x:c>
      <x:c r="F74" s="21"/>
      <x:c r="G74" s="16" t="str">
        <x:v>未披露</x:v>
      </x:c>
      <x:c r="H74" s="17" t="str">
        <x:v>服装另配</x:v>
      </x:c>
      <x:c r="I74" s="18" t="str">
        <x:v>材料未披露</x:v>
      </x:c>
      <x:c r="J74" s="19" t="str">
        <x:v>原创人偶</x:v>
      </x:c>
      <x:c r="K74" s="11" t="str">
        <x:v>【Pre-sale】DollZone The world 1/4 Doll Full Set/nude doll/head Presale SD Doll  Spherical joint Dolls</x:v>
      </x:c>
      <x:c r="L74" s="11" t="str">
        <x:v>中国</x:v>
      </x:c>
      <x:c r="M74" s="11" t="str">
        <x:v>未披露</x:v>
      </x:c>
      <x:c r="N74" s="11" t="str">
        <x:v>按官网销售选项记录裸娃／素体；肤色、妆面、头部和全套选项不混作同一交付版本。</x:v>
      </x:c>
      <x:c r="O74" s="11" t="str">
        <x:v>未披露</x:v>
      </x:c>
      <x:c r="P74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4" s="11" t="str">
        <x:v>未取得产品对应证据</x:v>
      </x:c>
      <x:c r="R74" s="11" t="str">
        <x:v>2026-10-05</x:v>
      </x:c>
      <x:c r="S74" s="11" t="str">
        <x:v>dollzone-body-2-pre-saledollzone-the-world-1-4-doll-full-set-nude-doll-head-presale-sd-doll-spherical-join</x:v>
      </x:c>
      <x:c r="T74" s="11" t="str">
        <x:v>https://doll-zone.com/products/pre-saledollzone-the-world-1-4-doll-full-set-nude-doll-head-presale-sd-doll-spherical-joint-dolls</x:v>
      </x:c>
    </x:row>
    <x:row r="75" ht="110" customHeight="1">
      <x:c r="A75" s="11" t="str">
        <x:v>B77-001 · 素体</x:v>
      </x:c>
      <x:c r="B75" s="11" t="str">
        <x:v>DollZone</x:v>
      </x:c>
      <x:c r="C75" s="12" t="str">
        <x:v>球体关节</x:v>
      </x:c>
      <x:c r="D75" s="13" t="str">
        <x:v>素体成品</x:v>
      </x:c>
      <x:c r="E75" s="20" t="str">
        <x:v>比例 1:3</x:v>
      </x:c>
      <x:c r="F75" s="21" t="n">
        <x:v>770</x:v>
      </x:c>
      <x:c r="G75" s="16" t="str">
        <x:v>官方商品标题标称；是否含头未披露</x:v>
      </x:c>
      <x:c r="H75" s="17" t="str">
        <x:v>服装另配</x:v>
      </x:c>
      <x:c r="I75" s="18" t="str">
        <x:v>材料未披露</x:v>
      </x:c>
      <x:c r="J75" s="19" t="str">
        <x:v>素体</x:v>
      </x:c>
      <x:c r="K75" s="11" t="str">
        <x:v>【Pre-sale】DollZone B77-001 1/3 Body Presale SD Doll 77cm Spherical joint Dolls</x:v>
      </x:c>
      <x:c r="L75" s="11" t="str">
        <x:v>中国</x:v>
      </x:c>
      <x:c r="M75" s="11" t="str">
        <x:v>未披露</x:v>
      </x:c>
      <x:c r="N75" s="11" t="str">
        <x:v>按官网销售选项记录裸娃／素体；肤色、妆面、头部和全套选项不混作同一交付版本。</x:v>
      </x:c>
      <x:c r="O75" s="11" t="str">
        <x:v>标称 77 cm（官方商品标题；身体是否含头与测量姿势未披露）</x:v>
      </x:c>
      <x:c r="P75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5" s="11" t="str">
        <x:v>未取得产品对应证据</x:v>
      </x:c>
      <x:c r="R75" s="11" t="str">
        <x:v>2026-10-05</x:v>
      </x:c>
      <x:c r="S75" s="11" t="str">
        <x:v>dollzone-body-2-pre-saledollzone-b77-001-1-3-body-presale-sd-doll-77cm-spherical-joint-dolls</x:v>
      </x:c>
      <x:c r="T75" s="11" t="str">
        <x:v>https://doll-zone.com/products/pre-saledollzone-b77-001-1-3-body-presale-sd-doll-77cm-spherical-joint-dolls</x:v>
      </x:c>
    </x:row>
    <x:row r="76" ht="110" customHeight="1">
      <x:c r="A76" s="11" t="str">
        <x:v>B71-003-1/B71-003-2 · 素体</x:v>
      </x:c>
      <x:c r="B76" s="11" t="str">
        <x:v>DollZone</x:v>
      </x:c>
      <x:c r="C76" s="12" t="str">
        <x:v>球体关节</x:v>
      </x:c>
      <x:c r="D76" s="13" t="str">
        <x:v>素体成品</x:v>
      </x:c>
      <x:c r="E76" s="20" t="str">
        <x:v>比例 1:3</x:v>
      </x:c>
      <x:c r="F76" s="21" t="n">
        <x:v>710</x:v>
      </x:c>
      <x:c r="G76" s="16" t="str">
        <x:v>官方商品标题标称；是否含头未披露</x:v>
      </x:c>
      <x:c r="H76" s="17" t="str">
        <x:v>服装另配</x:v>
      </x:c>
      <x:c r="I76" s="18" t="str">
        <x:v>材料未披露</x:v>
      </x:c>
      <x:c r="J76" s="19" t="str">
        <x:v>素体</x:v>
      </x:c>
      <x:c r="K76" s="11" t="str">
        <x:v>【Pre-sale】DollZone B71-003-1/B71-003-2 1/3 Body Presale SD Doll 71cm Spherical joint Dolls</x:v>
      </x:c>
      <x:c r="L76" s="11" t="str">
        <x:v>中国</x:v>
      </x:c>
      <x:c r="M76" s="11" t="str">
        <x:v>未披露</x:v>
      </x:c>
      <x:c r="N76" s="11" t="str">
        <x:v>按官网销售选项记录裸娃／素体；肤色、妆面、头部和全套选项不混作同一交付版本。</x:v>
      </x:c>
      <x:c r="O76" s="11" t="str">
        <x:v>标称 71 cm（官方商品标题；身体是否含头与测量姿势未披露）</x:v>
      </x:c>
      <x:c r="P76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6" s="11" t="str">
        <x:v>未取得产品对应证据</x:v>
      </x:c>
      <x:c r="R76" s="11" t="str">
        <x:v>2026-10-05</x:v>
      </x:c>
      <x:c r="S76" s="11" t="str">
        <x:v>dollzone-body-2-pre-saledollzone-b71-003-1-b71-003-2-1-3-body-presale-sd-doll-71cm-spherical-joint-dolls</x:v>
      </x:c>
      <x:c r="T76" s="11" t="str">
        <x:v>https://doll-zone.com/products/pre-saledollzone-b71-003-1-b71-003-2-1-3-body-presale-sd-doll-71cm-spherical-joint-dolls</x:v>
      </x:c>
    </x:row>
    <x:row r="77" ht="110" customHeight="1">
      <x:c r="A77" s="11" t="str">
        <x:v>bobo body · 素体</x:v>
      </x:c>
      <x:c r="B77" s="11" t="str">
        <x:v>DollZone</x:v>
      </x:c>
      <x:c r="C77" s="12" t="str">
        <x:v>球体关节</x:v>
      </x:c>
      <x:c r="D77" s="13" t="str">
        <x:v>素体成品</x:v>
      </x:c>
      <x:c r="E77" s="20" t="str">
        <x:v>比例 1:6</x:v>
      </x:c>
      <x:c r="F77" s="21" t="n">
        <x:v>240</x:v>
      </x:c>
      <x:c r="G77" s="16" t="str">
        <x:v>官方商品标题标称；是否含头未披露</x:v>
      </x:c>
      <x:c r="H77" s="17" t="str">
        <x:v>服装另配</x:v>
      </x:c>
      <x:c r="I77" s="18" t="str">
        <x:v>材料未披露</x:v>
      </x:c>
      <x:c r="J77" s="19" t="str">
        <x:v>素体</x:v>
      </x:c>
      <x:c r="K77" s="11" t="str">
        <x:v>【Pre-sale】DollZone bobo body 1/6 Body Presale SD Doll 24cm Spherical joint Dolls</x:v>
      </x:c>
      <x:c r="L77" s="11" t="str">
        <x:v>中国</x:v>
      </x:c>
      <x:c r="M77" s="11" t="str">
        <x:v>未披露</x:v>
      </x:c>
      <x:c r="N77" s="11" t="str">
        <x:v>按官网销售选项记录裸娃／素体；肤色、妆面、头部和全套选项不混作同一交付版本。</x:v>
      </x:c>
      <x:c r="O77" s="11" t="str">
        <x:v>标称 24 cm（官方商品标题；身体是否含头与测量姿势未披露）</x:v>
      </x:c>
      <x:c r="P77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7" s="11" t="str">
        <x:v>未取得产品对应证据</x:v>
      </x:c>
      <x:c r="R77" s="11" t="str">
        <x:v>2026-10-05</x:v>
      </x:c>
      <x:c r="S77" s="11" t="str">
        <x:v>dollzone-body-2--pre-sale-dollzone-bobo-body-1-6-body-presale-sd-doll-24cm-spherical-joint-dolls</x:v>
      </x:c>
      <x:c r="T77" s="11" t="str">
        <x:v>https://doll-zone.com/products/%E3%80%90pre-sale%E3%80%91dollzone-bobo-body-1-6-body-presale-sd-doll-24cm-spherical-joint-dolls</x:v>
      </x:c>
    </x:row>
    <x:row r="78" ht="110" customHeight="1">
      <x:c r="A78" s="11" t="str">
        <x:v>B75-002 · 素体</x:v>
      </x:c>
      <x:c r="B78" s="11" t="str">
        <x:v>DollZone</x:v>
      </x:c>
      <x:c r="C78" s="12" t="str">
        <x:v>球体关节</x:v>
      </x:c>
      <x:c r="D78" s="13" t="str">
        <x:v>素体成品</x:v>
      </x:c>
      <x:c r="E78" s="20" t="str">
        <x:v>比例 1:3</x:v>
      </x:c>
      <x:c r="F78" s="21" t="n">
        <x:v>750</x:v>
      </x:c>
      <x:c r="G78" s="16" t="str">
        <x:v>官方商品标题标称；是否含头未披露</x:v>
      </x:c>
      <x:c r="H78" s="17" t="str">
        <x:v>服装另配</x:v>
      </x:c>
      <x:c r="I78" s="18" t="str">
        <x:v>材料未披露</x:v>
      </x:c>
      <x:c r="J78" s="19" t="str">
        <x:v>素体</x:v>
      </x:c>
      <x:c r="K78" s="11" t="str">
        <x:v>【Pre-sale】DollZone B75-002 1/3 Body Presale SD Doll 75cm Spherical joint Dolls</x:v>
      </x:c>
      <x:c r="L78" s="11" t="str">
        <x:v>中国</x:v>
      </x:c>
      <x:c r="M78" s="11" t="str">
        <x:v>未披露</x:v>
      </x:c>
      <x:c r="N78" s="11" t="str">
        <x:v>按官网销售选项记录裸娃／素体；肤色、妆面、头部和全套选项不混作同一交付版本。</x:v>
      </x:c>
      <x:c r="O78" s="11" t="str">
        <x:v>标称 75 cm（官方商品标题；身体是否含头与测量姿势未披露）</x:v>
      </x:c>
      <x:c r="P78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8" s="11" t="str">
        <x:v>未取得产品对应证据</x:v>
      </x:c>
      <x:c r="R78" s="11" t="str">
        <x:v>2026-10-05</x:v>
      </x:c>
      <x:c r="S78" s="11" t="str">
        <x:v>dollzone-body-2-pre-saledollzone-b75-002-1-3-body-presale-sd-doll-75cm-spherical-joint-dolls</x:v>
      </x:c>
      <x:c r="T78" s="11" t="str">
        <x:v>https://doll-zone.com/products/pre-saledollzone-b75-002-1-3-body-presale-sd-doll-75cm-spherical-joint-dolls</x:v>
      </x:c>
    </x:row>
    <x:row r="79" ht="110" customHeight="1">
      <x:c r="A79" s="11" t="str">
        <x:v>B45-022 · 素体</x:v>
      </x:c>
      <x:c r="B79" s="11" t="str">
        <x:v>DollZone</x:v>
      </x:c>
      <x:c r="C79" s="12" t="str">
        <x:v>球体关节</x:v>
      </x:c>
      <x:c r="D79" s="13" t="str">
        <x:v>素体成品</x:v>
      </x:c>
      <x:c r="E79" s="20" t="str">
        <x:v>比例 1:4</x:v>
      </x:c>
      <x:c r="F79" s="21" t="n">
        <x:v>430</x:v>
      </x:c>
      <x:c r="G79" s="16" t="str">
        <x:v>官方商品标题标称；是否含头未披露</x:v>
      </x:c>
      <x:c r="H79" s="17" t="str">
        <x:v>服装另配</x:v>
      </x:c>
      <x:c r="I79" s="18" t="str">
        <x:v>材料未披露</x:v>
      </x:c>
      <x:c r="J79" s="19" t="str">
        <x:v>素体</x:v>
      </x:c>
      <x:c r="K79" s="11" t="str">
        <x:v>【Pre-sale】DollZone B45-022  1/4 girl  Body Presale SD Doll 43cm Spherical joint Dolls Hand Accessories Foot Accessories</x:v>
      </x:c>
      <x:c r="L79" s="11" t="str">
        <x:v>中国</x:v>
      </x:c>
      <x:c r="M79" s="11" t="str">
        <x:v>未披露</x:v>
      </x:c>
      <x:c r="N79" s="11" t="str">
        <x:v>按官网销售选项记录裸娃／素体；肤色、妆面、头部和全套选项不混作同一交付版本。</x:v>
      </x:c>
      <x:c r="O79" s="11" t="str">
        <x:v>标称 43 cm（官方商品标题；身体是否含头与测量姿势未披露）</x:v>
      </x:c>
      <x:c r="P79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79" s="11" t="str">
        <x:v>未取得产品对应证据</x:v>
      </x:c>
      <x:c r="R79" s="11" t="str">
        <x:v>2026-10-05</x:v>
      </x:c>
      <x:c r="S79" s="11" t="str">
        <x:v>dollzone-body-2--pre-sale-dollzone-b45-022-1-4-girl-body-presale-sd-doll-43cm-spherical-joint-dolls-hand-a</x:v>
      </x:c>
      <x:c r="T79" s="11" t="str">
        <x:v>https://doll-zone.com/products/%E3%80%90pre-sale%E3%80%91dollzone-b45-022-1-4-girl-body-presale-sd-doll-43cm-spherical-joint-dolls-hand-accessories-foot-accessories</x:v>
      </x:c>
    </x:row>
    <x:row r="80" ht="110" customHeight="1">
      <x:c r="A80" s="11" t="str">
        <x:v>73 cm 身体 · 素体</x:v>
      </x:c>
      <x:c r="B80" s="11" t="str">
        <x:v>DollZone</x:v>
      </x:c>
      <x:c r="C80" s="12" t="str">
        <x:v>球体关节</x:v>
      </x:c>
      <x:c r="D80" s="13" t="str">
        <x:v>素体成品</x:v>
      </x:c>
      <x:c r="E80" s="20" t="str">
        <x:v>未披露</x:v>
      </x:c>
      <x:c r="F80" s="21"/>
      <x:c r="G80" s="16" t="str">
        <x:v>未披露</x:v>
      </x:c>
      <x:c r="H80" s="17" t="str">
        <x:v>服装另配</x:v>
      </x:c>
      <x:c r="I80" s="18" t="str">
        <x:v>材料未披露</x:v>
      </x:c>
      <x:c r="J80" s="19" t="str">
        <x:v>素体</x:v>
      </x:c>
      <x:c r="K80" s="11" t="str">
        <x:v>73</x:v>
      </x:c>
      <x:c r="L80" s="11" t="str">
        <x:v>中国</x:v>
      </x:c>
      <x:c r="M80" s="11" t="str">
        <x:v>未披露</x:v>
      </x:c>
      <x:c r="N80" s="11" t="str">
        <x:v>按官网销售选项记录裸娃／素体；肤色、妆面、头部和全套选项不混作同一交付版本。</x:v>
      </x:c>
      <x:c r="O80" s="11" t="str">
        <x:v>未披露</x:v>
      </x:c>
      <x:c r="P80" s="11" t="str">
        <x:v>销售版本：本条选裸娃（Nude Doll）或独立 Body。页面可能同时售全套、头部、妆面或不同身体选项；价格、包装与配件不能互相套用。
尺寸与结构证据：商品标题明确球体关节及比例；只有标题明确列出的厘米数才进入尺寸标签。拉筋保持方式、身体代际、材质及详细围度未从标题推断。
本款补证范围：本次页面文字未提供足以核对的完整围度与妆面清单。原页中图版资料保留为进一步核对入口；不借用同品牌其他型号参数。</x:v>
      </x:c>
      <x:c r="Q80" s="11" t="str">
        <x:v>未取得产品对应证据</x:v>
      </x:c>
      <x:c r="R80" s="11" t="str">
        <x:v>2026-10-05</x:v>
      </x:c>
      <x:c r="S80" s="11" t="str">
        <x:v>dollzone-body-2-73</x:v>
      </x:c>
      <x:c r="T80" s="11" t="str">
        <x:v>https://doll-zone.com/products/73</x:v>
      </x:c>
    </x:row>
    <x:row r="81" ht="111" customHeight="1">
      <x:c r="A81" s="11" t="str">
        <x:v>黏土人偶 Nagito Komaeda</x:v>
      </x:c>
      <x:c r="B81" s="11" t="str">
        <x:v>Good Smile Company</x:v>
      </x:c>
      <x:c r="C81" s="12" t="str">
        <x:v>关节可动</x:v>
      </x:c>
      <x:c r="D81" s="13" t="str">
        <x:v>成品含服、计划商品</x:v>
      </x:c>
      <x:c r="E81" s="20" t="str">
        <x:v>无固定比例</x:v>
      </x:c>
      <x:c r="F81" s="21" t="n">
        <x:v>140</x:v>
      </x:c>
      <x:c r="G81" s="16" t="str">
        <x:v>官方本款规格的约全高；是否计入底座未单独说明</x:v>
      </x:c>
      <x:c r="H81" s="17" t="str">
        <x:v>布衣穿脱、换手</x:v>
      </x:c>
      <x:c r="I81" s="18" t="str">
        <x:v>磁铁、布料、塑料</x:v>
      </x:c>
      <x:c r="J81" s="19" t="str">
        <x:v>角色人形</x:v>
      </x:c>
      <x:c r="K81" s="11" t="str">
        <x:v>Nendoroid Doll Nagito Komaeda</x:v>
      </x:c>
      <x:c r="L81" s="11" t="str">
        <x:v>未单独核对</x:v>
      </x:c>
      <x:c r="M81" s="11" t="str">
        <x:v>未披露</x:v>
      </x:c>
      <x:c r="N81" s="11" t="str">
        <x:v>本款官方产品页版本；再版与配色名称按原始商品名保留，不推断所有批次。</x:v>
      </x:c>
      <x:c r="O81" s="11" t="str">
        <x:v>高度 14 cm（官方本款规格的约全高；是否计入底座未单独说明）</x:v>
      </x:c>
      <x:c r="P81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Nagito Komaeda。作品／产品线：Danganronpa 2x2。官方页面标示出货月：2027-06；计划月份不作为已出货证明。
换件与适配：来源明确的操作：布衣穿脱、换手。跨品牌接口、身体和衣物互换不从系列名称推断；具体限制应以本款产品页为准。</x:v>
      </x:c>
      <x:c r="Q81" s="11" t="str">
        <x:v>未取得产品对应证据</x:v>
      </x:c>
      <x:c r="R81" s="11" t="str">
        <x:v>2026-10-05</x:v>
      </x:c>
      <x:c r="S81" s="11" t="str">
        <x:v>gsc-doll-1141832</x:v>
      </x:c>
      <x:c r="T81" s="11" t="str">
        <x:v>https://www.goodsmile.com/en/product/1141832</x:v>
      </x:c>
    </x:row>
    <x:row r="82" ht="111" customHeight="1">
      <x:c r="A82" s="11" t="str">
        <x:v>黏土人偶服装: Nagito Komaeda</x:v>
      </x:c>
      <x:c r="B82" s="11" t="str">
        <x:v>Good Smile Company</x:v>
      </x:c>
      <x:c r="C82" s="12" t="str">
        <x:v>不适用</x:v>
      </x:c>
      <x:c r="D82" s="13" t="str">
        <x:v>服装成品、计划商品</x:v>
      </x:c>
      <x:c r="E82" s="20" t="str">
        <x:v>不适用</x:v>
      </x:c>
      <x:c r="F82" s="21"/>
      <x:c r="G82" s="16" t="str">
        <x:v>不适用</x:v>
      </x:c>
      <x:c r="H82" s="17" t="str">
        <x:v>布衣穿脱</x:v>
      </x:c>
      <x:c r="I82" s="18" t="str">
        <x:v>磁铁、布料、塑料</x:v>
      </x:c>
      <x:c r="J82" s="19" t="str">
        <x:v>服装配套</x:v>
      </x:c>
      <x:c r="K82" s="11" t="str">
        <x:v>Nendoroid Doll Outfit Set: Nagito Komaeda</x:v>
      </x:c>
      <x:c r="L82" s="11" t="str">
        <x:v>未单独核对</x:v>
      </x:c>
      <x:c r="M82" s="11" t="str">
        <x:v>未披露</x:v>
      </x:c>
      <x:c r="N82" s="11" t="str">
        <x:v>本款官方产品页版本；再版与配色名称按原始商品名保留，不推断所有批次。</x:v>
      </x:c>
      <x:c r="O82" s="11" t="str">
        <x:v>不适用</x:v>
      </x:c>
      <x:c r="P82" s="11" t="str">
        <x:v>本款规格：比例未披露；材料：磁铁、布料、塑料；交付：服装成品、计划商品。
版本与商品范围：原始商品名：Nendoroid Doll Outfit Set: Nagito Komaeda。作品／产品线：Danganronpa 2x2。官方页面标示出货月：2027-06；计划月份不作为已出货证明。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82" s="11" t="str">
        <x:v>未取得产品对应证据</x:v>
      </x:c>
      <x:c r="R82" s="11" t="str">
        <x:v>2026-10-05</x:v>
      </x:c>
      <x:c r="S82" s="11" t="str">
        <x:v>gsc-doll-1141833</x:v>
      </x:c>
      <x:c r="T82" s="11" t="str">
        <x:v>https://www.goodsmile.com/en/product/1141833</x:v>
      </x:c>
    </x:row>
    <x:row r="83" ht="111" customHeight="1">
      <x:c r="A83" s="11" t="str">
        <x:v>黏土人偶 Monika</x:v>
      </x:c>
      <x:c r="B83" s="11" t="str">
        <x:v>Good Smile Company</x:v>
      </x:c>
      <x:c r="C83" s="12" t="str">
        <x:v>关节可动</x:v>
      </x:c>
      <x:c r="D83" s="13" t="str">
        <x:v>成品含服、计划商品</x:v>
      </x:c>
      <x:c r="E83" s="20" t="str">
        <x:v>无固定比例</x:v>
      </x:c>
      <x:c r="F83" s="21" t="n">
        <x:v>140</x:v>
      </x:c>
      <x:c r="G83" s="16" t="str">
        <x:v>官方本款规格的约全高；是否计入底座未单独说明</x:v>
      </x:c>
      <x:c r="H83" s="17" t="str">
        <x:v>布衣穿脱、换手</x:v>
      </x:c>
      <x:c r="I83" s="18" t="str">
        <x:v>磁铁、布料、塑料</x:v>
      </x:c>
      <x:c r="J83" s="19" t="str">
        <x:v>角色人形</x:v>
      </x:c>
      <x:c r="K83" s="11" t="str">
        <x:v>Nendoroid Doll Monika</x:v>
      </x:c>
      <x:c r="L83" s="11" t="str">
        <x:v>未单独核对</x:v>
      </x:c>
      <x:c r="M83" s="11" t="str">
        <x:v>未披露</x:v>
      </x:c>
      <x:c r="N83" s="11" t="str">
        <x:v>本款官方产品页版本；再版与配色名称按原始商品名保留，不推断所有批次。</x:v>
      </x:c>
      <x:c r="O83" s="11" t="str">
        <x:v>高度 14 cm（官方本款规格的约全高；是否计入底座未单独说明）</x:v>
      </x:c>
      <x:c r="P83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Monika。作品／产品线：Doki Doki Literature Club!。官方页面标示出货月：2027-06；计划月份不作为已出货证明。
换件与适配：来源明确的操作：布衣穿脱、换手。跨品牌接口、身体和衣物互换不从系列名称推断；具体限制应以本款产品页为准。</x:v>
      </x:c>
      <x:c r="Q83" s="11" t="str">
        <x:v>未取得产品对应证据</x:v>
      </x:c>
      <x:c r="R83" s="11" t="str">
        <x:v>2026-10-05</x:v>
      </x:c>
      <x:c r="S83" s="11" t="str">
        <x:v>gsc-doll-1142668</x:v>
      </x:c>
      <x:c r="T83" s="11" t="str">
        <x:v>https://www.goodsmile.com/en/product/1142668</x:v>
      </x:c>
    </x:row>
    <x:row r="84" ht="111" customHeight="1">
      <x:c r="A84" s="11" t="str">
        <x:v>黏土人偶服装: Monika</x:v>
      </x:c>
      <x:c r="B84" s="11" t="str">
        <x:v>Good Smile Company</x:v>
      </x:c>
      <x:c r="C84" s="12" t="str">
        <x:v>不适用</x:v>
      </x:c>
      <x:c r="D84" s="13" t="str">
        <x:v>服装成品、计划商品</x:v>
      </x:c>
      <x:c r="E84" s="20" t="str">
        <x:v>不适用</x:v>
      </x:c>
      <x:c r="F84" s="21"/>
      <x:c r="G84" s="16" t="str">
        <x:v>不适用</x:v>
      </x:c>
      <x:c r="H84" s="17" t="str">
        <x:v>布衣穿脱</x:v>
      </x:c>
      <x:c r="I84" s="18" t="str">
        <x:v>磁铁、布料、塑料</x:v>
      </x:c>
      <x:c r="J84" s="19" t="str">
        <x:v>服装配套</x:v>
      </x:c>
      <x:c r="K84" s="11" t="str">
        <x:v>Nendoroid Doll Outfit Set: Monika</x:v>
      </x:c>
      <x:c r="L84" s="11" t="str">
        <x:v>未单独核对</x:v>
      </x:c>
      <x:c r="M84" s="11" t="str">
        <x:v>未披露</x:v>
      </x:c>
      <x:c r="N84" s="11" t="str">
        <x:v>本款官方产品页版本；再版与配色名称按原始商品名保留，不推断所有批次。</x:v>
      </x:c>
      <x:c r="O84" s="11" t="str">
        <x:v>不适用</x:v>
      </x:c>
      <x:c r="P84" s="11" t="str">
        <x:v>本款规格：比例未披露；材料：磁铁、布料、塑料；交付：服装成品、计划商品。
版本与商品范围：原始商品名：Nendoroid Doll Outfit Set: Monika。作品／产品线：Doki Doki Literature Club!。官方页面标示出货月：2027-06；计划月份不作为已出货证明。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84" s="11" t="str">
        <x:v>未取得产品对应证据</x:v>
      </x:c>
      <x:c r="R84" s="11" t="str">
        <x:v>2026-10-05</x:v>
      </x:c>
      <x:c r="S84" s="11" t="str">
        <x:v>gsc-doll-1142669</x:v>
      </x:c>
      <x:c r="T84" s="11" t="str">
        <x:v>https://www.goodsmile.com/en/product/1142669</x:v>
      </x:c>
    </x:row>
    <x:row r="85" ht="111" customHeight="1">
      <x:c r="A85" s="11" t="str">
        <x:v>黏土人偶 Übel</x:v>
      </x:c>
      <x:c r="B85" s="11" t="str">
        <x:v>Good Smile Company</x:v>
      </x:c>
      <x:c r="C85" s="12" t="str">
        <x:v>关节可动</x:v>
      </x:c>
      <x:c r="D85" s="13" t="str">
        <x:v>成品含服、计划商品</x:v>
      </x:c>
      <x:c r="E85" s="20" t="str">
        <x:v>无固定比例</x:v>
      </x:c>
      <x:c r="F85" s="21" t="n">
        <x:v>140</x:v>
      </x:c>
      <x:c r="G85" s="16" t="str">
        <x:v>官方本款规格的约全高；是否计入底座未单独说明</x:v>
      </x:c>
      <x:c r="H85" s="17" t="str">
        <x:v>布衣穿脱、换手</x:v>
      </x:c>
      <x:c r="I85" s="18" t="str">
        <x:v>磁铁、布料、塑料</x:v>
      </x:c>
      <x:c r="J85" s="19" t="str">
        <x:v>角色人形</x:v>
      </x:c>
      <x:c r="K85" s="11" t="str">
        <x:v>Nendoroid Doll Übel</x:v>
      </x:c>
      <x:c r="L85" s="11" t="str">
        <x:v>未单独核对</x:v>
      </x:c>
      <x:c r="M85" s="11" t="str">
        <x:v>未披露</x:v>
      </x:c>
      <x:c r="N85" s="11" t="str">
        <x:v>本款官方产品页版本；再版与配色名称按原始商品名保留，不推断所有批次。</x:v>
      </x:c>
      <x:c r="O85" s="11" t="str">
        <x:v>高度 14 cm（官方本款规格的约全高；是否计入底座未单独说明）</x:v>
      </x:c>
      <x:c r="P85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Übel。作品／产品线：Frieren: Beyond Journey's End。官方页面标示出货月：2027-04；计划月份不作为已出货证明。
换件与适配：来源明确的操作：布衣穿脱、换手。跨品牌接口、身体和衣物互换不从系列名称推断；具体限制应以本款产品页为准。</x:v>
      </x:c>
      <x:c r="Q85" s="11" t="str">
        <x:v>未取得产品对应证据</x:v>
      </x:c>
      <x:c r="R85" s="11" t="str">
        <x:v>2026-10-05</x:v>
      </x:c>
      <x:c r="S85" s="11" t="str">
        <x:v>gsc-doll-1143700</x:v>
      </x:c>
      <x:c r="T85" s="11" t="str">
        <x:v>https://www.goodsmile.com/en/product/1143700</x:v>
      </x:c>
    </x:row>
    <x:row r="86" ht="111" customHeight="1">
      <x:c r="A86" s="11" t="str">
        <x:v>黏土人偶服装: Übel</x:v>
      </x:c>
      <x:c r="B86" s="11" t="str">
        <x:v>Good Smile Company</x:v>
      </x:c>
      <x:c r="C86" s="12" t="str">
        <x:v>不适用</x:v>
      </x:c>
      <x:c r="D86" s="13" t="str">
        <x:v>服装成品、计划商品</x:v>
      </x:c>
      <x:c r="E86" s="20" t="str">
        <x:v>不适用</x:v>
      </x:c>
      <x:c r="F86" s="21"/>
      <x:c r="G86" s="16" t="str">
        <x:v>不适用</x:v>
      </x:c>
      <x:c r="H86" s="17" t="str">
        <x:v>布衣穿脱</x:v>
      </x:c>
      <x:c r="I86" s="18" t="str">
        <x:v>布料、塑料</x:v>
      </x:c>
      <x:c r="J86" s="19" t="str">
        <x:v>服装配套</x:v>
      </x:c>
      <x:c r="K86" s="11" t="str">
        <x:v>Nendoroid Doll Outfit Set: Übel</x:v>
      </x:c>
      <x:c r="L86" s="11" t="str">
        <x:v>未单独核对</x:v>
      </x:c>
      <x:c r="M86" s="11" t="str">
        <x:v>未披露</x:v>
      </x:c>
      <x:c r="N86" s="11" t="str">
        <x:v>本款官方产品页版本；再版与配色名称按原始商品名保留，不推断所有批次。</x:v>
      </x:c>
      <x:c r="O86" s="11" t="str">
        <x:v>不适用</x:v>
      </x:c>
      <x:c r="P86" s="11" t="str">
        <x:v>本款规格：比例未披露；材料：布料、塑料；交付：服装成品、计划商品。
版本与商品范围：原始商品名：Nendoroid Doll Outfit Set: Übel。作品／产品线：Frieren: Beyond Journey's End。官方页面标示出货月：2027-04；计划月份不作为已出货证明。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86" s="11" t="str">
        <x:v>未取得产品对应证据</x:v>
      </x:c>
      <x:c r="R86" s="11" t="str">
        <x:v>2026-10-05</x:v>
      </x:c>
      <x:c r="S86" s="11" t="str">
        <x:v>gsc-doll-1143701</x:v>
      </x:c>
      <x:c r="T86" s="11" t="str">
        <x:v>https://www.goodsmile.com/en/product/1143701</x:v>
      </x:c>
    </x:row>
    <x:row r="87" ht="111" customHeight="1">
      <x:c r="A87" s="11" t="str">
        <x:v>黏土人偶 Arona</x:v>
      </x:c>
      <x:c r="B87" s="11" t="str">
        <x:v>Good Smile Company</x:v>
      </x:c>
      <x:c r="C87" s="12" t="str">
        <x:v>关节可动</x:v>
      </x:c>
      <x:c r="D87" s="13" t="str">
        <x:v>成品含服、计划商品</x:v>
      </x:c>
      <x:c r="E87" s="20" t="str">
        <x:v>无固定比例</x:v>
      </x:c>
      <x:c r="F87" s="21" t="n">
        <x:v>140</x:v>
      </x:c>
      <x:c r="G87" s="16" t="str">
        <x:v>官方本款规格的约全高；是否计入底座未单独说明</x:v>
      </x:c>
      <x:c r="H87" s="17" t="str">
        <x:v>布衣穿脱、换手</x:v>
      </x:c>
      <x:c r="I87" s="18" t="str">
        <x:v>磁铁、布料、塑料</x:v>
      </x:c>
      <x:c r="J87" s="19" t="str">
        <x:v>角色人形</x:v>
      </x:c>
      <x:c r="K87" s="11" t="str">
        <x:v>Nendoroid Doll Arona</x:v>
      </x:c>
      <x:c r="L87" s="11" t="str">
        <x:v>未单独核对</x:v>
      </x:c>
      <x:c r="M87" s="11" t="str">
        <x:v>未披露</x:v>
      </x:c>
      <x:c r="N87" s="11" t="str">
        <x:v>本款官方产品页版本；再版与配色名称按原始商品名保留，不推断所有批次。</x:v>
      </x:c>
      <x:c r="O87" s="11" t="str">
        <x:v>高度 14 cm（官方本款规格的约全高；是否计入底座未单独说明）</x:v>
      </x:c>
      <x:c r="P87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Arona。作品／产品线：Blue Archive。官方页面标示出货月：2027-04；计划月份不作为已出货证明。
换件与适配：来源明确的操作：布衣穿脱、换手。跨品牌接口、身体和衣物互换不从系列名称推断；具体限制应以本款产品页为准。</x:v>
      </x:c>
      <x:c r="Q87" s="11" t="str">
        <x:v>未取得产品对应证据</x:v>
      </x:c>
      <x:c r="R87" s="11" t="str">
        <x:v>2026-10-05</x:v>
      </x:c>
      <x:c r="S87" s="11" t="str">
        <x:v>gsc-doll-1141869</x:v>
      </x:c>
      <x:c r="T87" s="11" t="str">
        <x:v>https://www.goodsmile.com/en/product/1141869</x:v>
      </x:c>
    </x:row>
    <x:row r="88" ht="111" customHeight="1">
      <x:c r="A88" s="11" t="str">
        <x:v>黏土人偶服装: Arona</x:v>
      </x:c>
      <x:c r="B88" s="11" t="str">
        <x:v>Good Smile Company</x:v>
      </x:c>
      <x:c r="C88" s="12" t="str">
        <x:v>不适用</x:v>
      </x:c>
      <x:c r="D88" s="13" t="str">
        <x:v>服装成品、计划商品</x:v>
      </x:c>
      <x:c r="E88" s="20" t="str">
        <x:v>不适用</x:v>
      </x:c>
      <x:c r="F88" s="21"/>
      <x:c r="G88" s="16" t="str">
        <x:v>不适用</x:v>
      </x:c>
      <x:c r="H88" s="17" t="str">
        <x:v>布衣穿脱</x:v>
      </x:c>
      <x:c r="I88" s="18" t="str">
        <x:v>磁铁、布料、塑料</x:v>
      </x:c>
      <x:c r="J88" s="19" t="str">
        <x:v>服装配套</x:v>
      </x:c>
      <x:c r="K88" s="11" t="str">
        <x:v>Nendoroid Doll Outfit Set: Arona</x:v>
      </x:c>
      <x:c r="L88" s="11" t="str">
        <x:v>未单独核对</x:v>
      </x:c>
      <x:c r="M88" s="11" t="str">
        <x:v>未披露</x:v>
      </x:c>
      <x:c r="N88" s="11" t="str">
        <x:v>本款官方产品页版本；再版与配色名称按原始商品名保留，不推断所有批次。</x:v>
      </x:c>
      <x:c r="O88" s="11" t="str">
        <x:v>不适用</x:v>
      </x:c>
      <x:c r="P88" s="11" t="str">
        <x:v>本款规格：比例未披露；材料：磁铁、布料、塑料；交付：服装成品、计划商品。
版本与商品范围：原始商品名：Nendoroid Doll Outfit Set: Arona。作品／产品线：Blue Archive。官方页面标示出货月：2027-04；计划月份不作为已出货证明。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88" s="11" t="str">
        <x:v>未取得产品对应证据</x:v>
      </x:c>
      <x:c r="R88" s="11" t="str">
        <x:v>2026-10-05</x:v>
      </x:c>
      <x:c r="S88" s="11" t="str">
        <x:v>gsc-doll-1141870</x:v>
      </x:c>
      <x:c r="T88" s="11" t="str">
        <x:v>https://www.goodsmile.com/en/product/1141870</x:v>
      </x:c>
    </x:row>
    <x:row r="89" ht="111" customHeight="1">
      <x:c r="A89" s="11" t="str">
        <x:v>黏土人偶 Plana</x:v>
      </x:c>
      <x:c r="B89" s="11" t="str">
        <x:v>Good Smile Company</x:v>
      </x:c>
      <x:c r="C89" s="12" t="str">
        <x:v>关节可动</x:v>
      </x:c>
      <x:c r="D89" s="13" t="str">
        <x:v>成品含服、计划商品</x:v>
      </x:c>
      <x:c r="E89" s="20" t="str">
        <x:v>无固定比例</x:v>
      </x:c>
      <x:c r="F89" s="21" t="n">
        <x:v>140</x:v>
      </x:c>
      <x:c r="G89" s="16" t="str">
        <x:v>官方本款规格的约全高；是否计入底座未单独说明</x:v>
      </x:c>
      <x:c r="H89" s="17" t="str">
        <x:v>布衣穿脱、换手</x:v>
      </x:c>
      <x:c r="I89" s="18" t="str">
        <x:v>磁铁、布料、塑料</x:v>
      </x:c>
      <x:c r="J89" s="19" t="str">
        <x:v>角色人形</x:v>
      </x:c>
      <x:c r="K89" s="11" t="str">
        <x:v>Nendoroid Doll Plana</x:v>
      </x:c>
      <x:c r="L89" s="11" t="str">
        <x:v>未单独核对</x:v>
      </x:c>
      <x:c r="M89" s="11" t="str">
        <x:v>未披露</x:v>
      </x:c>
      <x:c r="N89" s="11" t="str">
        <x:v>本款官方产品页版本；再版与配色名称按原始商品名保留，不推断所有批次。</x:v>
      </x:c>
      <x:c r="O89" s="11" t="str">
        <x:v>高度 14 cm（官方本款规格的约全高；是否计入底座未单独说明）</x:v>
      </x:c>
      <x:c r="P89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Plana。作品／产品线：Blue Archive。官方页面标示出货月：2027-04；计划月份不作为已出货证明。
换件与适配：来源明确的操作：布衣穿脱、换手。跨品牌接口、身体和衣物互换不从系列名称推断；具体限制应以本款产品页为准。</x:v>
      </x:c>
      <x:c r="Q89" s="11" t="str">
        <x:v>未取得产品对应证据</x:v>
      </x:c>
      <x:c r="R89" s="11" t="str">
        <x:v>2026-10-05</x:v>
      </x:c>
      <x:c r="S89" s="11" t="str">
        <x:v>gsc-doll-1141871</x:v>
      </x:c>
      <x:c r="T89" s="11" t="str">
        <x:v>https://www.goodsmile.com/en/product/1141871</x:v>
      </x:c>
    </x:row>
    <x:row r="90" ht="111" customHeight="1">
      <x:c r="A90" s="11" t="str">
        <x:v>黏土人偶服装: Plana</x:v>
      </x:c>
      <x:c r="B90" s="11" t="str">
        <x:v>Good Smile Company</x:v>
      </x:c>
      <x:c r="C90" s="12" t="str">
        <x:v>不适用</x:v>
      </x:c>
      <x:c r="D90" s="13" t="str">
        <x:v>服装成品、计划商品</x:v>
      </x:c>
      <x:c r="E90" s="20" t="str">
        <x:v>不适用</x:v>
      </x:c>
      <x:c r="F90" s="21"/>
      <x:c r="G90" s="16" t="str">
        <x:v>不适用</x:v>
      </x:c>
      <x:c r="H90" s="17" t="str">
        <x:v>布衣穿脱</x:v>
      </x:c>
      <x:c r="I90" s="18" t="str">
        <x:v>磁铁、布料、塑料</x:v>
      </x:c>
      <x:c r="J90" s="19" t="str">
        <x:v>服装配套</x:v>
      </x:c>
      <x:c r="K90" s="11" t="str">
        <x:v>Nendoroid Doll Outfit Set: Plana</x:v>
      </x:c>
      <x:c r="L90" s="11" t="str">
        <x:v>未单独核对</x:v>
      </x:c>
      <x:c r="M90" s="11" t="str">
        <x:v>未披露</x:v>
      </x:c>
      <x:c r="N90" s="11" t="str">
        <x:v>本款官方产品页版本；再版与配色名称按原始商品名保留，不推断所有批次。</x:v>
      </x:c>
      <x:c r="O90" s="11" t="str">
        <x:v>不适用</x:v>
      </x:c>
      <x:c r="P90" s="11" t="str">
        <x:v>本款规格：比例未披露；材料：磁铁、布料、塑料；交付：服装成品、计划商品。
版本与商品范围：原始商品名：Nendoroid Doll Outfit Set: Plana。作品／产品线：Blue Archive。官方页面标示出货月：2027-04；计划月份不作为已出货证明。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90" s="11" t="str">
        <x:v>未取得产品对应证据</x:v>
      </x:c>
      <x:c r="R90" s="11" t="str">
        <x:v>2026-10-05</x:v>
      </x:c>
      <x:c r="S90" s="11" t="str">
        <x:v>gsc-doll-1141872</x:v>
      </x:c>
      <x:c r="T90" s="11" t="str">
        <x:v>https://www.goodsmile.com/en/product/1141872</x:v>
      </x:c>
    </x:row>
    <x:row r="91" ht="111" customHeight="1">
      <x:c r="A91" s="11" t="str">
        <x:v>黏土人偶 玛奇玛</x:v>
      </x:c>
      <x:c r="B91" s="11" t="str">
        <x:v>Good Smile Company</x:v>
      </x:c>
      <x:c r="C91" s="12" t="str">
        <x:v>关节可动</x:v>
      </x:c>
      <x:c r="D91" s="13" t="str">
        <x:v>成品含服、计划商品</x:v>
      </x:c>
      <x:c r="E91" s="20" t="str">
        <x:v>无固定比例</x:v>
      </x:c>
      <x:c r="F91" s="21" t="n">
        <x:v>140</x:v>
      </x:c>
      <x:c r="G91" s="16" t="str">
        <x:v>官方本款规格的约全高；是否计入底座未单独说明</x:v>
      </x:c>
      <x:c r="H91" s="17" t="str">
        <x:v>布衣穿脱、换手</x:v>
      </x:c>
      <x:c r="I91" s="18" t="str">
        <x:v>磁铁、布料、塑料</x:v>
      </x:c>
      <x:c r="J91" s="19" t="str">
        <x:v>角色人形</x:v>
      </x:c>
      <x:c r="K91" s="11" t="str">
        <x:v>Nendoroid Doll Makima</x:v>
      </x:c>
      <x:c r="L91" s="11" t="str">
        <x:v>未单独核对</x:v>
      </x:c>
      <x:c r="M91" s="11" t="str">
        <x:v>未披露</x:v>
      </x:c>
      <x:c r="N91" s="11" t="str">
        <x:v>本款官方产品页版本；再版与配色名称按原始商品名保留，不推断所有批次。</x:v>
      </x:c>
      <x:c r="O91" s="11" t="str">
        <x:v>高度 14 cm（官方本款规格的约全高；是否计入底座未单独说明）</x:v>
      </x:c>
      <x:c r="P91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Makima。作品／产品线：Chainsaw Man - The Movie: Reze Arc。官方页面标示出货月：2027-02；计划月份不作为已出货证明。
换件与适配：来源明确的操作：布衣穿脱、换手。跨品牌接口、身体和衣物互换不从系列名称推断；具体限制应以本款产品页为准。</x:v>
      </x:c>
      <x:c r="Q91" s="11" t="str">
        <x:v>未取得产品对应证据</x:v>
      </x:c>
      <x:c r="R91" s="11" t="str">
        <x:v>2026-10-05</x:v>
      </x:c>
      <x:c r="S91" s="11" t="str">
        <x:v>gsc-doll-1142519</x:v>
      </x:c>
      <x:c r="T91" s="11" t="str">
        <x:v>https://www.goodsmile.com/en/product/1142519</x:v>
      </x:c>
    </x:row>
    <x:row r="92" ht="111" customHeight="1">
      <x:c r="A92" s="11" t="str">
        <x:v>黏土人偶服装: 玛奇玛</x:v>
      </x:c>
      <x:c r="B92" s="11" t="str">
        <x:v>Good Smile Company</x:v>
      </x:c>
      <x:c r="C92" s="12" t="str">
        <x:v>不适用</x:v>
      </x:c>
      <x:c r="D92" s="13" t="str">
        <x:v>服装成品、计划商品</x:v>
      </x:c>
      <x:c r="E92" s="20" t="str">
        <x:v>不适用</x:v>
      </x:c>
      <x:c r="F92" s="21"/>
      <x:c r="G92" s="16" t="str">
        <x:v>不适用</x:v>
      </x:c>
      <x:c r="H92" s="17" t="str">
        <x:v>布衣穿脱</x:v>
      </x:c>
      <x:c r="I92" s="18" t="str">
        <x:v>磁铁、布料、塑料</x:v>
      </x:c>
      <x:c r="J92" s="19" t="str">
        <x:v>服装配套</x:v>
      </x:c>
      <x:c r="K92" s="11" t="str">
        <x:v>Nendoroid Doll Outfit Set: Makima</x:v>
      </x:c>
      <x:c r="L92" s="11" t="str">
        <x:v>未单独核对</x:v>
      </x:c>
      <x:c r="M92" s="11" t="str">
        <x:v>未披露</x:v>
      </x:c>
      <x:c r="N92" s="11" t="str">
        <x:v>本款官方产品页版本；再版与配色名称按原始商品名保留，不推断所有批次。</x:v>
      </x:c>
      <x:c r="O92" s="11" t="str">
        <x:v>不适用</x:v>
      </x:c>
      <x:c r="P92" s="11" t="str">
        <x:v>本款规格：比例未披露；材料：磁铁、布料、塑料；交付：服装成品、计划商品。
版本与商品范围：原始商品名：Nendoroid Doll Outfit Set: Makima。作品／产品线：Chainsaw Man - The Movie: Reze Arc。官方页面标示出货月：2027-02；计划月份不作为已出货证明。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92" s="11" t="str">
        <x:v>未取得产品对应证据</x:v>
      </x:c>
      <x:c r="R92" s="11" t="str">
        <x:v>2026-10-05</x:v>
      </x:c>
      <x:c r="S92" s="11" t="str">
        <x:v>gsc-doll-1142520</x:v>
      </x:c>
      <x:c r="T92" s="11" t="str">
        <x:v>https://www.goodsmile.com/en/product/1142520</x:v>
      </x:c>
    </x:row>
    <x:row r="93" ht="111" customHeight="1">
      <x:c r="A93" s="11" t="str">
        <x:v>黏土人偶 Yuta Okkotsu: Execution Ver.</x:v>
      </x:c>
      <x:c r="B93" s="11" t="str">
        <x:v>Good Smile Company</x:v>
      </x:c>
      <x:c r="C93" s="12" t="str">
        <x:v>关节可动</x:v>
      </x:c>
      <x:c r="D93" s="13" t="str">
        <x:v>成品含服、计划商品</x:v>
      </x:c>
      <x:c r="E93" s="20" t="str">
        <x:v>无固定比例</x:v>
      </x:c>
      <x:c r="F93" s="21" t="n">
        <x:v>140</x:v>
      </x:c>
      <x:c r="G93" s="16" t="str">
        <x:v>官方本款规格的约全高；是否计入底座未单独说明</x:v>
      </x:c>
      <x:c r="H93" s="17" t="str">
        <x:v>布衣穿脱、换手</x:v>
      </x:c>
      <x:c r="I93" s="18" t="str">
        <x:v>磁铁、布料、塑料</x:v>
      </x:c>
      <x:c r="J93" s="19" t="str">
        <x:v>角色人形</x:v>
      </x:c>
      <x:c r="K93" s="11" t="str">
        <x:v>Nendoroid Doll Yuta Okkotsu: Execution Ver.</x:v>
      </x:c>
      <x:c r="L93" s="11" t="str">
        <x:v>未单独核对</x:v>
      </x:c>
      <x:c r="M93" s="11" t="str">
        <x:v>未披露</x:v>
      </x:c>
      <x:c r="N93" s="11" t="str">
        <x:v>本款官方产品页版本；再版与配色名称按原始商品名保留，不推断所有批次。</x:v>
      </x:c>
      <x:c r="O93" s="11" t="str">
        <x:v>高度 14 cm（官方本款规格的约全高；是否计入底座未单独说明）</x:v>
      </x:c>
      <x:c r="P93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Yuta Okkotsu: Execution Ver.。作品／产品线：Jujutsu Kaisen。官方页面标示出货月：2027-04；计划月份不作为已出货证明。
换件与适配：来源明确的操作：布衣穿脱、换手。跨品牌接口、身体和衣物互换不从系列名称推断；具体限制应以本款产品页为准。</x:v>
      </x:c>
      <x:c r="Q93" s="11" t="str">
        <x:v>未取得产品对应证据</x:v>
      </x:c>
      <x:c r="R93" s="11" t="str">
        <x:v>2026-10-05</x:v>
      </x:c>
      <x:c r="S93" s="11" t="str">
        <x:v>gsc-doll-1142649</x:v>
      </x:c>
      <x:c r="T93" s="11" t="str">
        <x:v>https://www.goodsmile.com/en/product/1142649</x:v>
      </x:c>
    </x:row>
    <x:row r="94" ht="111" customHeight="1">
      <x:c r="A94" s="11" t="str">
        <x:v>黏土人偶服装: Yuta Okkotsu: Execution Ver.</x:v>
      </x:c>
      <x:c r="B94" s="11" t="str">
        <x:v>Good Smile Company</x:v>
      </x:c>
      <x:c r="C94" s="12" t="str">
        <x:v>不适用</x:v>
      </x:c>
      <x:c r="D94" s="13" t="str">
        <x:v>服装成品、计划商品</x:v>
      </x:c>
      <x:c r="E94" s="20" t="str">
        <x:v>不适用</x:v>
      </x:c>
      <x:c r="F94" s="21"/>
      <x:c r="G94" s="16" t="str">
        <x:v>不适用</x:v>
      </x:c>
      <x:c r="H94" s="17" t="str">
        <x:v>布衣穿脱</x:v>
      </x:c>
      <x:c r="I94" s="18" t="str">
        <x:v>磁铁、布料、塑料</x:v>
      </x:c>
      <x:c r="J94" s="19" t="str">
        <x:v>服装配套</x:v>
      </x:c>
      <x:c r="K94" s="11" t="str">
        <x:v>Nendoroid Doll Outfit Set: Yuta Okkotsu: Execution Ver.</x:v>
      </x:c>
      <x:c r="L94" s="11" t="str">
        <x:v>未单独核对</x:v>
      </x:c>
      <x:c r="M94" s="11" t="str">
        <x:v>未披露</x:v>
      </x:c>
      <x:c r="N94" s="11" t="str">
        <x:v>本款官方产品页版本；再版与配色名称按原始商品名保留，不推断所有批次。</x:v>
      </x:c>
      <x:c r="O94" s="11" t="str">
        <x:v>不适用</x:v>
      </x:c>
      <x:c r="P94" s="11" t="str">
        <x:v>本款规格：比例未披露；材料：磁铁、布料、塑料；交付：服装成品、计划商品。
版本与商品范围：原始商品名：Nendoroid Doll Outfit Set: Yuta Okkotsu: Execution Ver.。作品／产品线：Jujutsu Kaisen。官方页面标示出货月：2027-04；计划月份不作为已出货证明。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94" s="11" t="str">
        <x:v>未取得产品对应证据</x:v>
      </x:c>
      <x:c r="R94" s="11" t="str">
        <x:v>2026-10-05</x:v>
      </x:c>
      <x:c r="S94" s="11" t="str">
        <x:v>gsc-doll-1142650</x:v>
      </x:c>
      <x:c r="T94" s="11" t="str">
        <x:v>https://www.goodsmile.com/en/product/1142650</x:v>
      </x:c>
    </x:row>
    <x:row r="95" ht="111" customHeight="1">
      <x:c r="A95" s="11" t="str">
        <x:v>黏土人偶 Jinshi</x:v>
      </x:c>
      <x:c r="B95" s="11" t="str">
        <x:v>Good Smile Company</x:v>
      </x:c>
      <x:c r="C95" s="12" t="str">
        <x:v>关节可动</x:v>
      </x:c>
      <x:c r="D95" s="13" t="str">
        <x:v>成品含服、计划商品</x:v>
      </x:c>
      <x:c r="E95" s="20" t="str">
        <x:v>无固定比例</x:v>
      </x:c>
      <x:c r="F95" s="21" t="n">
        <x:v>140</x:v>
      </x:c>
      <x:c r="G95" s="16" t="str">
        <x:v>官方本款规格的约全高；是否计入底座未单独说明</x:v>
      </x:c>
      <x:c r="H95" s="17" t="str">
        <x:v>布衣穿脱、换手</x:v>
      </x:c>
      <x:c r="I95" s="18" t="str">
        <x:v>磁铁、布料、塑料</x:v>
      </x:c>
      <x:c r="J95" s="19" t="str">
        <x:v>角色人形</x:v>
      </x:c>
      <x:c r="K95" s="11" t="str">
        <x:v>Nendoroid Doll Jinshi</x:v>
      </x:c>
      <x:c r="L95" s="11" t="str">
        <x:v>未单独核对</x:v>
      </x:c>
      <x:c r="M95" s="11" t="str">
        <x:v>未披露</x:v>
      </x:c>
      <x:c r="N95" s="11" t="str">
        <x:v>本款官方产品页版本；再版与配色名称按原始商品名保留，不推断所有批次。</x:v>
      </x:c>
      <x:c r="O95" s="11" t="str">
        <x:v>高度 14 cm（官方本款规格的约全高；是否计入底座未单独说明）</x:v>
      </x:c>
      <x:c r="P95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Jinshi。作品／产品线：The Apothecary Diaries。官方页面标示出货月：2027-03；计划月份不作为已出货证明。
换件与适配：来源明确的操作：布衣穿脱、换手。跨品牌接口、身体和衣物互换不从系列名称推断；具体限制应以本款产品页为准。</x:v>
      </x:c>
      <x:c r="Q95" s="11" t="str">
        <x:v>未取得产品对应证据</x:v>
      </x:c>
      <x:c r="R95" s="11" t="str">
        <x:v>2026-10-05</x:v>
      </x:c>
      <x:c r="S95" s="11" t="str">
        <x:v>gsc-doll-1142194</x:v>
      </x:c>
      <x:c r="T95" s="11" t="str">
        <x:v>https://www.goodsmile.com/en/product/1142194</x:v>
      </x:c>
    </x:row>
    <x:row r="96" ht="111" customHeight="1">
      <x:c r="A96" s="11" t="str">
        <x:v>黏土人偶服装: Jinshi</x:v>
      </x:c>
      <x:c r="B96" s="11" t="str">
        <x:v>Good Smile Company</x:v>
      </x:c>
      <x:c r="C96" s="12" t="str">
        <x:v>不适用</x:v>
      </x:c>
      <x:c r="D96" s="13" t="str">
        <x:v>服装成品、计划商品</x:v>
      </x:c>
      <x:c r="E96" s="20" t="str">
        <x:v>不适用</x:v>
      </x:c>
      <x:c r="F96" s="21"/>
      <x:c r="G96" s="16" t="str">
        <x:v>不适用</x:v>
      </x:c>
      <x:c r="H96" s="17" t="str">
        <x:v>布衣穿脱</x:v>
      </x:c>
      <x:c r="I96" s="18" t="str">
        <x:v>磁铁、布料、塑料</x:v>
      </x:c>
      <x:c r="J96" s="19" t="str">
        <x:v>服装配套</x:v>
      </x:c>
      <x:c r="K96" s="11" t="str">
        <x:v>Nendoroid Doll Outfit Set: Jinshi</x:v>
      </x:c>
      <x:c r="L96" s="11" t="str">
        <x:v>未单独核对</x:v>
      </x:c>
      <x:c r="M96" s="11" t="str">
        <x:v>未披露</x:v>
      </x:c>
      <x:c r="N96" s="11" t="str">
        <x:v>本款官方产品页版本；再版与配色名称按原始商品名保留，不推断所有批次。</x:v>
      </x:c>
      <x:c r="O96" s="11" t="str">
        <x:v>不适用</x:v>
      </x:c>
      <x:c r="P96" s="11" t="str">
        <x:v>本款规格：比例未披露；材料：磁铁、布料、塑料；交付：服装成品、计划商品。
版本与商品范围：原始商品名：Nendoroid Doll Outfit Set: Jinshi。作品／产品线：The Apothecary Diaries。官方页面标示出货月：2027-03；计划月份不作为已出货证明。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96" s="11" t="str">
        <x:v>未取得产品对应证据</x:v>
      </x:c>
      <x:c r="R96" s="11" t="str">
        <x:v>2026-10-05</x:v>
      </x:c>
      <x:c r="S96" s="11" t="str">
        <x:v>gsc-doll-1142195</x:v>
      </x:c>
      <x:c r="T96" s="11" t="str">
        <x:v>https://www.goodsmile.com/en/product/1142195</x:v>
      </x:c>
    </x:row>
    <x:row r="97" ht="153" customHeight="1">
      <x:c r="A97" s="11" t="str">
        <x:v>黏土人偶 England</x:v>
      </x:c>
      <x:c r="B97" s="11" t="str">
        <x:v>ORANGE ROUGE</x:v>
      </x:c>
      <x:c r="C97" s="12" t="str">
        <x:v>关节可动</x:v>
      </x:c>
      <x:c r="D97" s="13" t="str">
        <x:v>成品含服、计划商品</x:v>
      </x:c>
      <x:c r="E97" s="20" t="str">
        <x:v>无固定比例</x:v>
      </x:c>
      <x:c r="F97" s="21" t="n">
        <x:v>140</x:v>
      </x:c>
      <x:c r="G97" s="16" t="str">
        <x:v>官方本款规格的约全高；是否计入底座未单独说明</x:v>
      </x:c>
      <x:c r="H97" s="17" t="str">
        <x:v>布衣穿脱、换手</x:v>
      </x:c>
      <x:c r="I97" s="18" t="str">
        <x:v>磁铁、布料、塑料</x:v>
      </x:c>
      <x:c r="J97" s="19" t="str">
        <x:v>角色人形</x:v>
      </x:c>
      <x:c r="K97" s="11" t="str">
        <x:v>Nendoroid Doll England</x:v>
      </x:c>
      <x:c r="L97" s="11" t="str">
        <x:v>未单独核对</x:v>
      </x:c>
      <x:c r="M97" s="11" t="str">
        <x:v>未披露</x:v>
      </x:c>
      <x:c r="N97" s="11" t="str">
        <x:v>本款官方产品页版本；再版与配色名称按原始商品名保留，不推断所有批次。</x:v>
      </x:c>
      <x:c r="O97" s="11" t="str">
        <x:v>高度 14 cm（官方本款规格的约全高；是否计入底座未单独说明）</x:v>
      </x:c>
      <x:c r="P97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England。作品／产品线：Hetalia World★Stars。官方页面标示出货月：2027-03；计划月份不作为已出货证明。
换件与适配：来源明确的操作：布衣穿脱、换手。跨品牌接口、身体和衣物互换不从系列名称推断；具体限制应以本款产品页为准。
企划与制造主体：页面 Manufacturer 栏：ORANGE ROUGE；Planning/Production 栏：Good Smile Company。主体角色分别保留。</x:v>
      </x:c>
      <x:c r="Q97" s="11" t="str">
        <x:v>未取得产品对应证据</x:v>
      </x:c>
      <x:c r="R97" s="11" t="str">
        <x:v>2026-10-05</x:v>
      </x:c>
      <x:c r="S97" s="11" t="str">
        <x:v>gsc-doll-1142502</x:v>
      </x:c>
      <x:c r="T97" s="11" t="str">
        <x:v>https://www.goodsmile.com/en/product/1142502</x:v>
      </x:c>
    </x:row>
    <x:row r="98" ht="153" customHeight="1">
      <x:c r="A98" s="11" t="str">
        <x:v>黏土人偶服装: England</x:v>
      </x:c>
      <x:c r="B98" s="11" t="str">
        <x:v>ORANGE ROUGE</x:v>
      </x:c>
      <x:c r="C98" s="12" t="str">
        <x:v>不适用</x:v>
      </x:c>
      <x:c r="D98" s="13" t="str">
        <x:v>服装成品、计划商品</x:v>
      </x:c>
      <x:c r="E98" s="20" t="str">
        <x:v>不适用</x:v>
      </x:c>
      <x:c r="F98" s="21"/>
      <x:c r="G98" s="16" t="str">
        <x:v>不适用</x:v>
      </x:c>
      <x:c r="H98" s="17" t="str">
        <x:v>布衣穿脱</x:v>
      </x:c>
      <x:c r="I98" s="18" t="str">
        <x:v>磁铁、布料、塑料</x:v>
      </x:c>
      <x:c r="J98" s="19" t="str">
        <x:v>服装配套</x:v>
      </x:c>
      <x:c r="K98" s="11" t="str">
        <x:v>Nendoroid Doll Outfit Set: England</x:v>
      </x:c>
      <x:c r="L98" s="11" t="str">
        <x:v>未单独核对</x:v>
      </x:c>
      <x:c r="M98" s="11" t="str">
        <x:v>未披露</x:v>
      </x:c>
      <x:c r="N98" s="11" t="str">
        <x:v>本款官方产品页版本；再版与配色名称按原始商品名保留，不推断所有批次。</x:v>
      </x:c>
      <x:c r="O98" s="11" t="str">
        <x:v>不适用</x:v>
      </x:c>
      <x:c r="P98" s="11" t="str">
        <x:v>本款规格：比例未披露；材料：磁铁、布料、塑料；交付：服装成品、计划商品。
版本与商品范围：原始商品名：Nendoroid Doll Outfit Set: England。作品／产品线：Hetalia World★Stars。官方页面标示出货月：2027-03；计划月份不作为已出货证明。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
企划与制造主体：页面 Manufacturer 栏：ORANGE ROUGE；Planning/Production 栏：Good Smile Company。主体角色分别保留。</x:v>
      </x:c>
      <x:c r="Q98" s="11" t="str">
        <x:v>未取得产品对应证据</x:v>
      </x:c>
      <x:c r="R98" s="11" t="str">
        <x:v>2026-10-05</x:v>
      </x:c>
      <x:c r="S98" s="11" t="str">
        <x:v>gsc-doll-1142503</x:v>
      </x:c>
      <x:c r="T98" s="11" t="str">
        <x:v>https://www.goodsmile.com/en/product/1142503</x:v>
      </x:c>
    </x:row>
    <x:row r="99" ht="111" customHeight="1">
      <x:c r="A99" s="11" t="str">
        <x:v>黏土人偶 Aki Hayakawa</x:v>
      </x:c>
      <x:c r="B99" s="11" t="str">
        <x:v>Good Smile Company</x:v>
      </x:c>
      <x:c r="C99" s="12" t="str">
        <x:v>关节可动</x:v>
      </x:c>
      <x:c r="D99" s="13" t="str">
        <x:v>成品含服、计划商品</x:v>
      </x:c>
      <x:c r="E99" s="20" t="str">
        <x:v>无固定比例</x:v>
      </x:c>
      <x:c r="F99" s="21" t="n">
        <x:v>140</x:v>
      </x:c>
      <x:c r="G99" s="16" t="str">
        <x:v>官方本款规格的约全高；是否计入底座未单独说明</x:v>
      </x:c>
      <x:c r="H99" s="17" t="str">
        <x:v>布衣穿脱、换手</x:v>
      </x:c>
      <x:c r="I99" s="18" t="str">
        <x:v>磁铁、布料、塑料</x:v>
      </x:c>
      <x:c r="J99" s="19" t="str">
        <x:v>角色人形</x:v>
      </x:c>
      <x:c r="K99" s="11" t="str">
        <x:v>Nendoroid Doll Aki Hayakawa</x:v>
      </x:c>
      <x:c r="L99" s="11" t="str">
        <x:v>未单独核对</x:v>
      </x:c>
      <x:c r="M99" s="11" t="str">
        <x:v>未披露</x:v>
      </x:c>
      <x:c r="N99" s="11" t="str">
        <x:v>本款官方产品页版本；再版与配色名称按原始商品名保留，不推断所有批次。</x:v>
      </x:c>
      <x:c r="O99" s="11" t="str">
        <x:v>高度 14 cm（官方本款规格的约全高；是否计入底座未单独说明）</x:v>
      </x:c>
      <x:c r="P99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Aki Hayakawa。作品／产品线：Chainsaw Man - The Movie: Reze Arc。官方页面标示出货月：2027-02；计划月份不作为已出货证明。
换件与适配：来源明确的操作：布衣穿脱、换手。跨品牌接口、身体和衣物互换不从系列名称推断；具体限制应以本款产品页为准。</x:v>
      </x:c>
      <x:c r="Q99" s="11" t="str">
        <x:v>未取得产品对应证据</x:v>
      </x:c>
      <x:c r="R99" s="11" t="str">
        <x:v>2026-10-05</x:v>
      </x:c>
      <x:c r="S99" s="11" t="str">
        <x:v>gsc-doll-1142517</x:v>
      </x:c>
      <x:c r="T99" s="11" t="str">
        <x:v>https://www.goodsmile.com/en/product/1142517</x:v>
      </x:c>
    </x:row>
    <x:row r="100" ht="111" customHeight="1">
      <x:c r="A100" s="11" t="str">
        <x:v>黏土人偶服装: Aki Hayakawa</x:v>
      </x:c>
      <x:c r="B100" s="11" t="str">
        <x:v>Good Smile Company</x:v>
      </x:c>
      <x:c r="C100" s="12" t="str">
        <x:v>不适用</x:v>
      </x:c>
      <x:c r="D100" s="13" t="str">
        <x:v>服装成品、计划商品</x:v>
      </x:c>
      <x:c r="E100" s="20" t="str">
        <x:v>不适用</x:v>
      </x:c>
      <x:c r="F100" s="21"/>
      <x:c r="G100" s="16" t="str">
        <x:v>不适用</x:v>
      </x:c>
      <x:c r="H100" s="17" t="str">
        <x:v>布衣穿脱</x:v>
      </x:c>
      <x:c r="I100" s="18" t="str">
        <x:v>磁铁、布料、塑料</x:v>
      </x:c>
      <x:c r="J100" s="19" t="str">
        <x:v>服装配套</x:v>
      </x:c>
      <x:c r="K100" s="11" t="str">
        <x:v>Nendoroid Doll Outfit Set: Aki Hayakawa</x:v>
      </x:c>
      <x:c r="L100" s="11" t="str">
        <x:v>未单独核对</x:v>
      </x:c>
      <x:c r="M100" s="11" t="str">
        <x:v>未披露</x:v>
      </x:c>
      <x:c r="N100" s="11" t="str">
        <x:v>本款官方产品页版本；再版与配色名称按原始商品名保留，不推断所有批次。</x:v>
      </x:c>
      <x:c r="O100" s="11" t="str">
        <x:v>不适用</x:v>
      </x:c>
      <x:c r="P100" s="11" t="str">
        <x:v>本款规格：比例未披露；材料：磁铁、布料、塑料；交付：服装成品、计划商品。
版本与商品范围：原始商品名：Nendoroid Doll Outfit Set: Aki Hayakawa。作品／产品线：Chainsaw Man - The Movie: Reze Arc。官方页面标示出货月：2027-02；计划月份不作为已出货证明。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00" s="11" t="str">
        <x:v>未取得产品对应证据</x:v>
      </x:c>
      <x:c r="R100" s="11" t="str">
        <x:v>2026-10-05</x:v>
      </x:c>
      <x:c r="S100" s="11" t="str">
        <x:v>gsc-doll-1142518</x:v>
      </x:c>
      <x:c r="T100" s="11" t="str">
        <x:v>https://www.goodsmile.com/en/product/1142518</x:v>
      </x:c>
    </x:row>
    <x:row r="101" ht="111" customHeight="1">
      <x:c r="A101" s="11" t="str">
        <x:v>黏土人偶 Goro Akechi: School Uniform Ver.</x:v>
      </x:c>
      <x:c r="B101" s="11" t="str">
        <x:v>Good Smile Company</x:v>
      </x:c>
      <x:c r="C101" s="12" t="str">
        <x:v>关节可动</x:v>
      </x:c>
      <x:c r="D101" s="13" t="str">
        <x:v>成品含服、计划商品</x:v>
      </x:c>
      <x:c r="E101" s="20" t="str">
        <x:v>无固定比例</x:v>
      </x:c>
      <x:c r="F101" s="21" t="n">
        <x:v>140</x:v>
      </x:c>
      <x:c r="G101" s="16" t="str">
        <x:v>官方本款规格的约全高；是否计入底座未单独说明</x:v>
      </x:c>
      <x:c r="H101" s="17" t="str">
        <x:v>布衣穿脱、换手</x:v>
      </x:c>
      <x:c r="I101" s="18" t="str">
        <x:v>磁铁、布料、塑料</x:v>
      </x:c>
      <x:c r="J101" s="19" t="str">
        <x:v>角色人形</x:v>
      </x:c>
      <x:c r="K101" s="11" t="str">
        <x:v>Nendoroid Doll Goro Akechi: School Uniform Ver.</x:v>
      </x:c>
      <x:c r="L101" s="11" t="str">
        <x:v>未单独核对</x:v>
      </x:c>
      <x:c r="M101" s="11" t="str">
        <x:v>未披露</x:v>
      </x:c>
      <x:c r="N101" s="11" t="str">
        <x:v>本款官方产品页版本；再版与配色名称按原始商品名保留，不推断所有批次。</x:v>
      </x:c>
      <x:c r="O101" s="11" t="str">
        <x:v>高度 14 cm（官方本款规格的约全高；是否计入底座未单独说明）</x:v>
      </x:c>
      <x:c r="P101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Goro Akechi: School Uniform Ver.。作品／产品线：Persona5 Royal。官方页面标示出货月：2027-03；计划月份不作为已出货证明。
换件与适配：来源明确的操作：布衣穿脱、换手。跨品牌接口、身体和衣物互换不从系列名称推断；具体限制应以本款产品页为准。</x:v>
      </x:c>
      <x:c r="Q101" s="11" t="str">
        <x:v>未取得产品对应证据</x:v>
      </x:c>
      <x:c r="R101" s="11" t="str">
        <x:v>2026-10-05</x:v>
      </x:c>
      <x:c r="S101" s="11" t="str">
        <x:v>gsc-doll-1142666</x:v>
      </x:c>
      <x:c r="T101" s="11" t="str">
        <x:v>https://www.goodsmile.com/en/product/1142666</x:v>
      </x:c>
    </x:row>
    <x:row r="102" ht="111" customHeight="1">
      <x:c r="A102" s="11" t="str">
        <x:v>黏土人偶服装: Goro Akechi - School Uniform Ver.</x:v>
      </x:c>
      <x:c r="B102" s="11" t="str">
        <x:v>Good Smile Company</x:v>
      </x:c>
      <x:c r="C102" s="12" t="str">
        <x:v>不适用</x:v>
      </x:c>
      <x:c r="D102" s="13" t="str">
        <x:v>服装成品、计划商品</x:v>
      </x:c>
      <x:c r="E102" s="20" t="str">
        <x:v>不适用</x:v>
      </x:c>
      <x:c r="F102" s="21"/>
      <x:c r="G102" s="16" t="str">
        <x:v>不适用</x:v>
      </x:c>
      <x:c r="H102" s="17" t="str">
        <x:v>布衣穿脱</x:v>
      </x:c>
      <x:c r="I102" s="18" t="str">
        <x:v>磁铁、布料、塑料</x:v>
      </x:c>
      <x:c r="J102" s="19" t="str">
        <x:v>服装配套</x:v>
      </x:c>
      <x:c r="K102" s="11" t="str">
        <x:v>Nendoroid Doll Outfit Set: Goro Akechi - School Uniform Ver.</x:v>
      </x:c>
      <x:c r="L102" s="11" t="str">
        <x:v>未单独核对</x:v>
      </x:c>
      <x:c r="M102" s="11" t="str">
        <x:v>未披露</x:v>
      </x:c>
      <x:c r="N102" s="11" t="str">
        <x:v>本款官方产品页版本；再版与配色名称按原始商品名保留，不推断所有批次。</x:v>
      </x:c>
      <x:c r="O102" s="11" t="str">
        <x:v>不适用</x:v>
      </x:c>
      <x:c r="P102" s="11" t="str">
        <x:v>本款规格：比例未披露；材料：磁铁、布料、塑料；交付：服装成品、计划商品。
版本与商品范围：原始商品名：Nendoroid Doll Outfit Set: Goro Akechi - School Uniform Ver.。作品／产品线：Persona5 Royal。官方页面标示出货月：2027-03；计划月份不作为已出货证明。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02" s="11" t="str">
        <x:v>未取得产品对应证据</x:v>
      </x:c>
      <x:c r="R102" s="11" t="str">
        <x:v>2026-10-05</x:v>
      </x:c>
      <x:c r="S102" s="11" t="str">
        <x:v>gsc-doll-1142667</x:v>
      </x:c>
      <x:c r="T102" s="11" t="str">
        <x:v>https://www.goodsmile.com/en/product/1142667</x:v>
      </x:c>
    </x:row>
    <x:row r="103" ht="111" customHeight="1">
      <x:c r="A103" s="11" t="str">
        <x:v>黏土人偶 Yui Hirasawa</x:v>
      </x:c>
      <x:c r="B103" s="11" t="str">
        <x:v>Good Smile Company</x:v>
      </x:c>
      <x:c r="C103" s="12" t="str">
        <x:v>关节可动</x:v>
      </x:c>
      <x:c r="D103" s="13" t="str">
        <x:v>成品含服、计划商品</x:v>
      </x:c>
      <x:c r="E103" s="20" t="str">
        <x:v>无固定比例</x:v>
      </x:c>
      <x:c r="F103" s="21" t="n">
        <x:v>140</x:v>
      </x:c>
      <x:c r="G103" s="16" t="str">
        <x:v>官方本款规格的约全高；是否计入底座未单独说明</x:v>
      </x:c>
      <x:c r="H103" s="17" t="str">
        <x:v>布衣穿脱、换手</x:v>
      </x:c>
      <x:c r="I103" s="18" t="str">
        <x:v>磁铁、布料、塑料</x:v>
      </x:c>
      <x:c r="J103" s="19" t="str">
        <x:v>角色人形</x:v>
      </x:c>
      <x:c r="K103" s="11" t="str">
        <x:v>Nendoroid Doll Yui Hirasawa</x:v>
      </x:c>
      <x:c r="L103" s="11" t="str">
        <x:v>未单独核对</x:v>
      </x:c>
      <x:c r="M103" s="11" t="str">
        <x:v>未披露</x:v>
      </x:c>
      <x:c r="N103" s="11" t="str">
        <x:v>本款官方产品页版本；再版与配色名称按原始商品名保留，不推断所有批次。</x:v>
      </x:c>
      <x:c r="O103" s="11" t="str">
        <x:v>高度 14 cm（官方本款规格的约全高；是否计入底座未单独说明）</x:v>
      </x:c>
      <x:c r="P103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Yui Hirasawa。作品／产品线：K-ON!。官方页面标示出货月：2027-05；计划月份不作为已出货证明。
换件与适配：来源明确的操作：布衣穿脱、换手。跨品牌接口、身体和衣物互换不从系列名称推断；具体限制应以本款产品页为准。</x:v>
      </x:c>
      <x:c r="Q103" s="11" t="str">
        <x:v>未取得产品对应证据</x:v>
      </x:c>
      <x:c r="R103" s="11" t="str">
        <x:v>2026-10-05</x:v>
      </x:c>
      <x:c r="S103" s="11" t="str">
        <x:v>gsc-doll-1142843</x:v>
      </x:c>
      <x:c r="T103" s="11" t="str">
        <x:v>https://www.goodsmile.com/en/product/1142843</x:v>
      </x:c>
    </x:row>
    <x:row r="104" ht="111" customHeight="1">
      <x:c r="A104" s="11" t="str">
        <x:v>黏土人偶服装: Yui Hirasawa</x:v>
      </x:c>
      <x:c r="B104" s="11" t="str">
        <x:v>Good Smile Company</x:v>
      </x:c>
      <x:c r="C104" s="12" t="str">
        <x:v>不适用</x:v>
      </x:c>
      <x:c r="D104" s="13" t="str">
        <x:v>服装成品、计划商品</x:v>
      </x:c>
      <x:c r="E104" s="20" t="str">
        <x:v>不适用</x:v>
      </x:c>
      <x:c r="F104" s="21"/>
      <x:c r="G104" s="16" t="str">
        <x:v>不适用</x:v>
      </x:c>
      <x:c r="H104" s="17" t="str">
        <x:v>布衣穿脱</x:v>
      </x:c>
      <x:c r="I104" s="18" t="str">
        <x:v>磁铁、布料、塑料</x:v>
      </x:c>
      <x:c r="J104" s="19" t="str">
        <x:v>服装配套</x:v>
      </x:c>
      <x:c r="K104" s="11" t="str">
        <x:v>Nendoroid Doll Outfit Set: Yui Hirasawa</x:v>
      </x:c>
      <x:c r="L104" s="11" t="str">
        <x:v>未单独核对</x:v>
      </x:c>
      <x:c r="M104" s="11" t="str">
        <x:v>未披露</x:v>
      </x:c>
      <x:c r="N104" s="11" t="str">
        <x:v>本款官方产品页版本；再版与配色名称按原始商品名保留，不推断所有批次。</x:v>
      </x:c>
      <x:c r="O104" s="11" t="str">
        <x:v>不适用</x:v>
      </x:c>
      <x:c r="P104" s="11" t="str">
        <x:v>本款规格：比例未披露；材料：磁铁、布料、塑料；交付：服装成品、计划商品。
版本与商品范围：原始商品名：Nendoroid Doll Outfit Set: Yui Hirasawa。作品／产品线：K-ON!。官方页面标示出货月：2027-05；计划月份不作为已出货证明。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04" s="11" t="str">
        <x:v>未取得产品对应证据</x:v>
      </x:c>
      <x:c r="R104" s="11" t="str">
        <x:v>2026-10-05</x:v>
      </x:c>
      <x:c r="S104" s="11" t="str">
        <x:v>gsc-doll-1142844</x:v>
      </x:c>
      <x:c r="T104" s="11" t="str">
        <x:v>https://www.goodsmile.com/en/product/1142844</x:v>
      </x:c>
    </x:row>
    <x:row r="105" ht="153" customHeight="1">
      <x:c r="A105" s="11" t="str">
        <x:v>黏土人偶 America</x:v>
      </x:c>
      <x:c r="B105" s="11" t="str">
        <x:v>ORANGE ROUGE</x:v>
      </x:c>
      <x:c r="C105" s="12" t="str">
        <x:v>关节可动</x:v>
      </x:c>
      <x:c r="D105" s="13" t="str">
        <x:v>成品含服、计划商品</x:v>
      </x:c>
      <x:c r="E105" s="20" t="str">
        <x:v>无固定比例</x:v>
      </x:c>
      <x:c r="F105" s="21" t="n">
        <x:v>140</x:v>
      </x:c>
      <x:c r="G105" s="16" t="str">
        <x:v>官方本款规格的约全高；是否计入底座未单独说明</x:v>
      </x:c>
      <x:c r="H105" s="17" t="str">
        <x:v>布衣穿脱、换手</x:v>
      </x:c>
      <x:c r="I105" s="18" t="str">
        <x:v>磁铁、布料、塑料</x:v>
      </x:c>
      <x:c r="J105" s="19" t="str">
        <x:v>角色人形</x:v>
      </x:c>
      <x:c r="K105" s="11" t="str">
        <x:v>Nendoroid Doll America</x:v>
      </x:c>
      <x:c r="L105" s="11" t="str">
        <x:v>未单独核对</x:v>
      </x:c>
      <x:c r="M105" s="11" t="str">
        <x:v>未披露</x:v>
      </x:c>
      <x:c r="N105" s="11" t="str">
        <x:v>本款官方产品页版本；再版与配色名称按原始商品名保留，不推断所有批次。</x:v>
      </x:c>
      <x:c r="O105" s="11" t="str">
        <x:v>高度 14 cm（官方本款规格的约全高；是否计入底座未单独说明）</x:v>
      </x:c>
      <x:c r="P105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America。作品／产品线：Hetalia World★Stars。官方页面标示出货月：2027-02；计划月份不作为已出货证明。
换件与适配：来源明确的操作：布衣穿脱、换手。跨品牌接口、身体和衣物互换不从系列名称推断；具体限制应以本款产品页为准。
企划与制造主体：页面 Manufacturer 栏：ORANGE ROUGE；Planning/Production 栏：Good Smile Company。主体角色分别保留。</x:v>
      </x:c>
      <x:c r="Q105" s="11" t="str">
        <x:v>未取得产品对应证据</x:v>
      </x:c>
      <x:c r="R105" s="11" t="str">
        <x:v>2026-10-05</x:v>
      </x:c>
      <x:c r="S105" s="11" t="str">
        <x:v>gsc-doll-1142500</x:v>
      </x:c>
      <x:c r="T105" s="11" t="str">
        <x:v>https://www.goodsmile.com/en/product/1142500</x:v>
      </x:c>
    </x:row>
    <x:row r="106" ht="153" customHeight="1">
      <x:c r="A106" s="11" t="str">
        <x:v>黏土人偶服装: America</x:v>
      </x:c>
      <x:c r="B106" s="11" t="str">
        <x:v>ORANGE ROUGE</x:v>
      </x:c>
      <x:c r="C106" s="12" t="str">
        <x:v>不适用</x:v>
      </x:c>
      <x:c r="D106" s="13" t="str">
        <x:v>服装成品、计划商品</x:v>
      </x:c>
      <x:c r="E106" s="20" t="str">
        <x:v>不适用</x:v>
      </x:c>
      <x:c r="F106" s="21"/>
      <x:c r="G106" s="16" t="str">
        <x:v>不适用</x:v>
      </x:c>
      <x:c r="H106" s="17" t="str">
        <x:v>布衣穿脱</x:v>
      </x:c>
      <x:c r="I106" s="18" t="str">
        <x:v>磁铁、布料、塑料</x:v>
      </x:c>
      <x:c r="J106" s="19" t="str">
        <x:v>服装配套</x:v>
      </x:c>
      <x:c r="K106" s="11" t="str">
        <x:v>Nendoroid Doll Outfit Set: America</x:v>
      </x:c>
      <x:c r="L106" s="11" t="str">
        <x:v>未单独核对</x:v>
      </x:c>
      <x:c r="M106" s="11" t="str">
        <x:v>未披露</x:v>
      </x:c>
      <x:c r="N106" s="11" t="str">
        <x:v>本款官方产品页版本；再版与配色名称按原始商品名保留，不推断所有批次。</x:v>
      </x:c>
      <x:c r="O106" s="11" t="str">
        <x:v>不适用</x:v>
      </x:c>
      <x:c r="P106" s="11" t="str">
        <x:v>本款规格：比例未披露；材料：磁铁、布料、塑料；交付：服装成品、计划商品。
版本与商品范围：原始商品名：Nendoroid Doll Outfit Set: America。作品／产品线：Hetalia World★Stars。官方页面标示出货月：2027-02；计划月份不作为已出货证明。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
企划与制造主体：页面 Manufacturer 栏：ORANGE ROUGE；Planning/Production 栏：Good Smile Company。主体角色分别保留。</x:v>
      </x:c>
      <x:c r="Q106" s="11" t="str">
        <x:v>未取得产品对应证据</x:v>
      </x:c>
      <x:c r="R106" s="11" t="str">
        <x:v>2026-10-05</x:v>
      </x:c>
      <x:c r="S106" s="11" t="str">
        <x:v>gsc-doll-1142501</x:v>
      </x:c>
      <x:c r="T106" s="11" t="str">
        <x:v>https://www.goodsmile.com/en/product/1142501</x:v>
      </x:c>
    </x:row>
    <x:row r="107" ht="126" customHeight="1">
      <x:c r="A107" s="11" t="str">
        <x:v>黏土人偶 Sakura Kinomoto: Costume Ver.</x:v>
      </x:c>
      <x:c r="B107" s="11" t="str">
        <x:v>Good Smile Company</x:v>
      </x:c>
      <x:c r="C107" s="12" t="str">
        <x:v>关节可动</x:v>
      </x:c>
      <x:c r="D107" s="13" t="str">
        <x:v>成品含服、计划商品</x:v>
      </x:c>
      <x:c r="E107" s="20" t="str">
        <x:v>无固定比例</x:v>
      </x:c>
      <x:c r="F107" s="21" t="n">
        <x:v>140</x:v>
      </x:c>
      <x:c r="G107" s="16" t="str">
        <x:v>官方本款规格的约全高；是否计入底座未单独说明</x:v>
      </x:c>
      <x:c r="H107" s="17" t="str">
        <x:v>布衣穿脱、换手</x:v>
      </x:c>
      <x:c r="I107" s="18" t="str">
        <x:v>磁铁、布料、塑料</x:v>
      </x:c>
      <x:c r="J107" s="19" t="str">
        <x:v>角色人形</x:v>
      </x:c>
      <x:c r="K107" s="11" t="str">
        <x:v>Nendoroid Doll Sakura Kinomoto: Costume Ver.</x:v>
      </x:c>
      <x:c r="L107" s="11" t="str">
        <x:v>未单独核对</x:v>
      </x:c>
      <x:c r="M107" s="11" t="str">
        <x:v>未披露</x:v>
      </x:c>
      <x:c r="N107" s="11" t="str">
        <x:v>本款官方产品页版本；再版与配色名称按原始商品名保留，不推断所有批次。</x:v>
      </x:c>
      <x:c r="O107" s="11" t="str">
        <x:v>高度 14 cm（官方本款规格的约全高；是否计入底座未单独说明）</x:v>
      </x:c>
      <x:c r="P107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Sakura Kinomoto: Costume Ver.。作品／产品线：Cardcaptor Sakura: Clear Card。官方页面标示出货月：2027-02；计划月份不作为已出货证明。
换件与适配：来源明确的操作：布衣穿脱、换手。跨品牌接口、身体和衣物互换不从系列名称推断；具体限制应以本款产品页为准。</x:v>
      </x:c>
      <x:c r="Q107" s="11" t="str">
        <x:v>未取得产品对应证据</x:v>
      </x:c>
      <x:c r="R107" s="11" t="str">
        <x:v>2026-10-05</x:v>
      </x:c>
      <x:c r="S107" s="11" t="str">
        <x:v>gsc-doll-1140621</x:v>
      </x:c>
      <x:c r="T107" s="11" t="str">
        <x:v>https://www.goodsmile.com/en/product/1140621</x:v>
      </x:c>
    </x:row>
    <x:row r="108" ht="126" customHeight="1">
      <x:c r="A108" s="11" t="str">
        <x:v>黏土人偶服装: Sakura Kinomoto: Costume Ver.</x:v>
      </x:c>
      <x:c r="B108" s="11" t="str">
        <x:v>Good Smile Company</x:v>
      </x:c>
      <x:c r="C108" s="12" t="str">
        <x:v>不适用</x:v>
      </x:c>
      <x:c r="D108" s="13" t="str">
        <x:v>服装成品、计划商品</x:v>
      </x:c>
      <x:c r="E108" s="20" t="str">
        <x:v>不适用</x:v>
      </x:c>
      <x:c r="F108" s="21"/>
      <x:c r="G108" s="16" t="str">
        <x:v>不适用</x:v>
      </x:c>
      <x:c r="H108" s="17" t="str">
        <x:v>布衣穿脱</x:v>
      </x:c>
      <x:c r="I108" s="18" t="str">
        <x:v>磁铁、布料、塑料</x:v>
      </x:c>
      <x:c r="J108" s="19" t="str">
        <x:v>服装配套</x:v>
      </x:c>
      <x:c r="K108" s="11" t="str">
        <x:v>Nendoroid Doll Outfit Set: Sakura Kinomoto: Costume Ver.</x:v>
      </x:c>
      <x:c r="L108" s="11" t="str">
        <x:v>未单独核对</x:v>
      </x:c>
      <x:c r="M108" s="11" t="str">
        <x:v>未披露</x:v>
      </x:c>
      <x:c r="N108" s="11" t="str">
        <x:v>本款官方产品页版本；再版与配色名称按原始商品名保留，不推断所有批次。</x:v>
      </x:c>
      <x:c r="O108" s="11" t="str">
        <x:v>不适用</x:v>
      </x:c>
      <x:c r="P108" s="11" t="str">
        <x:v>本款规格：比例未披露；材料：磁铁、布料、塑料；交付：服装成品、计划商品。
版本与商品范围：原始商品名：Nendoroid Doll Outfit Set: Sakura Kinomoto: Costume Ver.。作品／产品线：Cardcaptor Sakura: Clear Card。官方页面标示出货月：2027-02；计划月份不作为已出货证明。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08" s="11" t="str">
        <x:v>未取得产品对应证据</x:v>
      </x:c>
      <x:c r="R108" s="11" t="str">
        <x:v>2026-10-05</x:v>
      </x:c>
      <x:c r="S108" s="11" t="str">
        <x:v>gsc-doll-1140622</x:v>
      </x:c>
      <x:c r="T108" s="11" t="str">
        <x:v>https://www.goodsmile.com/en/product/1140622</x:v>
      </x:c>
    </x:row>
    <x:row r="109" ht="111" customHeight="1">
      <x:c r="A109" s="11" t="str">
        <x:v>黏土人偶 初音未来: ∞ Ver.</x:v>
      </x:c>
      <x:c r="B109" s="11" t="str">
        <x:v>Good Smile Company</x:v>
      </x:c>
      <x:c r="C109" s="12" t="str">
        <x:v>关节可动</x:v>
      </x:c>
      <x:c r="D109" s="13" t="str">
        <x:v>成品含服、计划商品</x:v>
      </x:c>
      <x:c r="E109" s="20" t="str">
        <x:v>无固定比例</x:v>
      </x:c>
      <x:c r="F109" s="21" t="n">
        <x:v>140</x:v>
      </x:c>
      <x:c r="G109" s="16" t="str">
        <x:v>官方本款规格的约全高；是否计入底座未单独说明</x:v>
      </x:c>
      <x:c r="H109" s="17" t="str">
        <x:v>布衣穿脱、换手</x:v>
      </x:c>
      <x:c r="I109" s="18" t="str">
        <x:v>磁铁、布料、塑料</x:v>
      </x:c>
      <x:c r="J109" s="19" t="str">
        <x:v>角色人形</x:v>
      </x:c>
      <x:c r="K109" s="11" t="str">
        <x:v>Nendoroid Doll Hatsune Miku: ∞ Ver.</x:v>
      </x:c>
      <x:c r="L109" s="11" t="str">
        <x:v>未单独核对</x:v>
      </x:c>
      <x:c r="M109" s="11" t="str">
        <x:v>未披露</x:v>
      </x:c>
      <x:c r="N109" s="11" t="str">
        <x:v>本款官方产品页版本；再版与配色名称按原始商品名保留，不推断所有批次。</x:v>
      </x:c>
      <x:c r="O109" s="11" t="str">
        <x:v>高度 14 cm（官方本款规格的约全高；是否计入底座未单独说明）</x:v>
      </x:c>
      <x:c r="P109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Hatsune Miku: ∞ Ver.。作品／产品线：SEGA feat. HATSUNE MIKU Project。官方页面标示出货月：2027-02；计划月份不作为已出货证明。
换件与适配：来源明确的操作：布衣穿脱、换手。跨品牌接口、身体和衣物互换不从系列名称推断；具体限制应以本款产品页为准。</x:v>
      </x:c>
      <x:c r="Q109" s="11" t="str">
        <x:v>未取得产品对应证据</x:v>
      </x:c>
      <x:c r="R109" s="11" t="str">
        <x:v>2026-10-05</x:v>
      </x:c>
      <x:c r="S109" s="11" t="str">
        <x:v>gsc-doll-1141536</x:v>
      </x:c>
      <x:c r="T109" s="11" t="str">
        <x:v>https://www.goodsmile.com/en/product/1141536</x:v>
      </x:c>
    </x:row>
    <x:row r="110" ht="111" customHeight="1">
      <x:c r="A110" s="11" t="str">
        <x:v>黏土人偶服装: 初音未来: ∞ Ver.</x:v>
      </x:c>
      <x:c r="B110" s="11" t="str">
        <x:v>Good Smile Company</x:v>
      </x:c>
      <x:c r="C110" s="12" t="str">
        <x:v>不适用</x:v>
      </x:c>
      <x:c r="D110" s="13" t="str">
        <x:v>服装成品、计划商品</x:v>
      </x:c>
      <x:c r="E110" s="20" t="str">
        <x:v>不适用</x:v>
      </x:c>
      <x:c r="F110" s="21"/>
      <x:c r="G110" s="16" t="str">
        <x:v>不适用</x:v>
      </x:c>
      <x:c r="H110" s="17" t="str">
        <x:v>布衣穿脱</x:v>
      </x:c>
      <x:c r="I110" s="18" t="str">
        <x:v>磁铁、布料、塑料</x:v>
      </x:c>
      <x:c r="J110" s="19" t="str">
        <x:v>服装配套</x:v>
      </x:c>
      <x:c r="K110" s="11" t="str">
        <x:v>Nendoroid Doll Outfit Set: Hatsune Miku: ∞ Ver.</x:v>
      </x:c>
      <x:c r="L110" s="11" t="str">
        <x:v>未单独核对</x:v>
      </x:c>
      <x:c r="M110" s="11" t="str">
        <x:v>未披露</x:v>
      </x:c>
      <x:c r="N110" s="11" t="str">
        <x:v>本款官方产品页版本；再版与配色名称按原始商品名保留，不推断所有批次。</x:v>
      </x:c>
      <x:c r="O110" s="11" t="str">
        <x:v>不适用</x:v>
      </x:c>
      <x:c r="P110" s="11" t="str">
        <x:v>本款规格：比例未披露；材料：磁铁、布料、塑料；交付：服装成品、计划商品。
版本与商品范围：原始商品名：Nendoroid Doll Outfit Set: Hatsune Miku: ∞ Ver.。作品／产品线：SEGA feat. HATSUNE MIKU Project。官方页面标示出货月：2027-02；计划月份不作为已出货证明。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10" s="11" t="str">
        <x:v>未取得产品对应证据</x:v>
      </x:c>
      <x:c r="R110" s="11" t="str">
        <x:v>2026-10-05</x:v>
      </x:c>
      <x:c r="S110" s="11" t="str">
        <x:v>gsc-doll-1141537</x:v>
      </x:c>
      <x:c r="T110" s="11" t="str">
        <x:v>https://www.goodsmile.com/en/product/1141537</x:v>
      </x:c>
    </x:row>
    <x:row r="111" ht="110" customHeight="1">
      <x:c r="A111" s="11" t="str">
        <x:v>黏土人偶 Wing Parts Set</x:v>
      </x:c>
      <x:c r="B111" s="11" t="str">
        <x:v>Good Smile Company</x:v>
      </x:c>
      <x:c r="C111" s="12" t="str">
        <x:v>连接待核实</x:v>
      </x:c>
      <x:c r="D111" s="13" t="str">
        <x:v>成品含服、计划商品</x:v>
      </x:c>
      <x:c r="E111" s="20" t="str">
        <x:v>未披露</x:v>
      </x:c>
      <x:c r="F111" s="21"/>
      <x:c r="G111" s="16" t="str">
        <x:v>未披露</x:v>
      </x:c>
      <x:c r="H111" s="17" t="str">
        <x:v>未披露</x:v>
      </x:c>
      <x:c r="I111" s="18" t="str">
        <x:v>塑料</x:v>
      </x:c>
      <x:c r="J111" s="19" t="str">
        <x:v>角色人形</x:v>
      </x:c>
      <x:c r="K111" s="11" t="str">
        <x:v>Nendoroid Doll Wing Parts Set</x:v>
      </x:c>
      <x:c r="L111" s="11" t="str">
        <x:v>未单独核对</x:v>
      </x:c>
      <x:c r="M111" s="11" t="str">
        <x:v>未披露</x:v>
      </x:c>
      <x:c r="N111" s="11" t="str">
        <x:v>本款官方产品页版本；再版与配色名称按原始商品名保留，不推断所有批次。</x:v>
      </x:c>
      <x:c r="O111" s="11" t="str">
        <x:v>未披露</x:v>
      </x:c>
      <x:c r="P111" s="11" t="str">
        <x:v>本款规格：比例未披露；材料：塑料；交付：成品含服、计划商品。
版本与商品范围：原始商品名：Nendoroid Doll Wing Parts Set。作品／产品线：Nendoroid Doll。官方页面标示出货月：2026-12；计划月份不作为已出货证明。
换件与适配：页面未明确布衣穿脱或跨产品换件范围。跨品牌接口、身体和衣物互换不从系列名称推断；具体限制应以本款产品页为准。</x:v>
      </x:c>
      <x:c r="Q111" s="11" t="str">
        <x:v>未取得产品对应证据</x:v>
      </x:c>
      <x:c r="R111" s="11" t="str">
        <x:v>2026-10-05</x:v>
      </x:c>
      <x:c r="S111" s="11" t="str">
        <x:v>gsc-doll-1141744</x:v>
      </x:c>
      <x:c r="T111" s="11" t="str">
        <x:v>https://www.goodsmile.com/en/product/1141744</x:v>
      </x:c>
    </x:row>
    <x:row r="112" ht="168" customHeight="1">
      <x:c r="A112" s="11" t="str">
        <x:v>黏土人偶 Ciel Phantomhive</x:v>
      </x:c>
      <x:c r="B112" s="11" t="str">
        <x:v>ORANGE ROUGE</x:v>
      </x:c>
      <x:c r="C112" s="12" t="str">
        <x:v>关节可动</x:v>
      </x:c>
      <x:c r="D112" s="13" t="str">
        <x:v>成品含服、计划商品</x:v>
      </x:c>
      <x:c r="E112" s="20" t="str">
        <x:v>无固定比例</x:v>
      </x:c>
      <x:c r="F112" s="21" t="n">
        <x:v>140</x:v>
      </x:c>
      <x:c r="G112" s="16" t="str">
        <x:v>官方本款规格的约全高；是否计入底座未单独说明</x:v>
      </x:c>
      <x:c r="H112" s="17" t="str">
        <x:v>布衣穿脱、换手</x:v>
      </x:c>
      <x:c r="I112" s="18" t="str">
        <x:v>磁铁、布料、塑料</x:v>
      </x:c>
      <x:c r="J112" s="19" t="str">
        <x:v>角色人形</x:v>
      </x:c>
      <x:c r="K112" s="11" t="str">
        <x:v>Nendoroid Doll Ciel Phantomhive</x:v>
      </x:c>
      <x:c r="L112" s="11" t="str">
        <x:v>未单独核对</x:v>
      </x:c>
      <x:c r="M112" s="11" t="str">
        <x:v>未披露</x:v>
      </x:c>
      <x:c r="N112" s="11" t="str">
        <x:v>本款官方产品页版本；再版与配色名称按原始商品名保留，不推断所有批次。</x:v>
      </x:c>
      <x:c r="O112" s="11" t="str">
        <x:v>高度 14 cm（官方本款规格的约全高；是否计入底座未单独说明）</x:v>
      </x:c>
      <x:c r="P112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Ciel Phantomhive。作品／产品线：Black Butler: Book of the Atlantic。官方页面标示出货月：2027-03；计划月份不作为已出货证明。
换件与适配：来源明确的操作：布衣穿脱、换手。跨品牌接口、身体和衣物互换不从系列名称推断；具体限制应以本款产品页为准。
企划与制造主体：页面 Manufacturer 栏：ORANGE ROUGE；Planning/Production 栏：Good Smile Company Related Information [Available: 10/2022][Rerelease:03/2027]。主体角色分别保留。</x:v>
      </x:c>
      <x:c r="Q112" s="11" t="str">
        <x:v>未取得产品对应证据</x:v>
      </x:c>
      <x:c r="R112" s="11" t="str">
        <x:v>2026-10-05</x:v>
      </x:c>
      <x:c r="S112" s="11" t="str">
        <x:v>gsc-doll-9723</x:v>
      </x:c>
      <x:c r="T112" s="11" t="str">
        <x:v>https://www.goodsmile.com/en/product/9723</x:v>
      </x:c>
    </x:row>
    <x:row r="113" ht="168" customHeight="1">
      <x:c r="A113" s="11" t="str">
        <x:v>黏土人偶 Sebastian Michaelis</x:v>
      </x:c>
      <x:c r="B113" s="11" t="str">
        <x:v>ORANGE ROUGE</x:v>
      </x:c>
      <x:c r="C113" s="12" t="str">
        <x:v>关节可动</x:v>
      </x:c>
      <x:c r="D113" s="13" t="str">
        <x:v>成品含服、计划商品</x:v>
      </x:c>
      <x:c r="E113" s="20" t="str">
        <x:v>无固定比例</x:v>
      </x:c>
      <x:c r="F113" s="21" t="n">
        <x:v>140</x:v>
      </x:c>
      <x:c r="G113" s="16" t="str">
        <x:v>官方本款规格的约全高；是否计入底座未单独说明</x:v>
      </x:c>
      <x:c r="H113" s="17" t="str">
        <x:v>布衣穿脱、换手</x:v>
      </x:c>
      <x:c r="I113" s="18" t="str">
        <x:v>磁铁、布料、塑料</x:v>
      </x:c>
      <x:c r="J113" s="19" t="str">
        <x:v>角色人形</x:v>
      </x:c>
      <x:c r="K113" s="11" t="str">
        <x:v>Nendoroid Doll Sebastian Michaelis</x:v>
      </x:c>
      <x:c r="L113" s="11" t="str">
        <x:v>未单独核对</x:v>
      </x:c>
      <x:c r="M113" s="11" t="str">
        <x:v>未披露</x:v>
      </x:c>
      <x:c r="N113" s="11" t="str">
        <x:v>本款官方产品页版本；再版与配色名称按原始商品名保留，不推断所有批次。</x:v>
      </x:c>
      <x:c r="O113" s="11" t="str">
        <x:v>高度 14 cm（官方本款规格的约全高；是否计入底座未单独说明）</x:v>
      </x:c>
      <x:c r="P113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Sebastian Michaelis。作品／产品线：Black Butler: Book of the Atlantic。官方页面标示出货月：2027-03；计划月份不作为已出货证明。
换件与适配：来源明确的操作：布衣穿脱、换手。跨品牌接口、身体和衣物互换不从系列名称推断；具体限制应以本款产品页为准。
企划与制造主体：页面 Manufacturer 栏：ORANGE ROUGE；Planning/Production 栏：Good Smile Company Related Information [Available: 10/2022][Rerelease:03/2027]。主体角色分别保留。</x:v>
      </x:c>
      <x:c r="Q113" s="11" t="str">
        <x:v>未取得产品对应证据</x:v>
      </x:c>
      <x:c r="R113" s="11" t="str">
        <x:v>2026-10-05</x:v>
      </x:c>
      <x:c r="S113" s="11" t="str">
        <x:v>gsc-doll-9725</x:v>
      </x:c>
      <x:c r="T113" s="11" t="str">
        <x:v>https://www.goodsmile.com/en/product/9725</x:v>
      </x:c>
    </x:row>
    <x:row r="114" ht="111" customHeight="1">
      <x:c r="A114" s="11" t="str">
        <x:v>黏土人偶 Chocola</x:v>
      </x:c>
      <x:c r="B114" s="11" t="str">
        <x:v>Good Smile Company</x:v>
      </x:c>
      <x:c r="C114" s="12" t="str">
        <x:v>关节可动</x:v>
      </x:c>
      <x:c r="D114" s="13" t="str">
        <x:v>成品含服、计划商品</x:v>
      </x:c>
      <x:c r="E114" s="20" t="str">
        <x:v>无固定比例</x:v>
      </x:c>
      <x:c r="F114" s="21" t="n">
        <x:v>140</x:v>
      </x:c>
      <x:c r="G114" s="16" t="str">
        <x:v>官方本款规格的约全高；是否计入底座未单独说明</x:v>
      </x:c>
      <x:c r="H114" s="17" t="str">
        <x:v>布衣穿脱、换手</x:v>
      </x:c>
      <x:c r="I114" s="18" t="str">
        <x:v>磁铁、布料、塑料</x:v>
      </x:c>
      <x:c r="J114" s="19" t="str">
        <x:v>角色人形</x:v>
      </x:c>
      <x:c r="K114" s="11" t="str">
        <x:v>Nendoroid Doll Chocola</x:v>
      </x:c>
      <x:c r="L114" s="11" t="str">
        <x:v>未单独核对</x:v>
      </x:c>
      <x:c r="M114" s="11" t="str">
        <x:v>未披露</x:v>
      </x:c>
      <x:c r="N114" s="11" t="str">
        <x:v>本款官方产品页版本；再版与配色名称按原始商品名保留，不推断所有批次。</x:v>
      </x:c>
      <x:c r="O114" s="11" t="str">
        <x:v>高度 14 cm（官方本款规格的约全高；是否计入底座未单独说明）</x:v>
      </x:c>
      <x:c r="P114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Chocola。作品／产品线：Nekopara Sekai Connect。官方页面标示出货月：2027-02；计划月份不作为已出货证明。
换件与适配：来源明确的操作：布衣穿脱、换手。跨品牌接口、身体和衣物互换不从系列名称推断；具体限制应以本款产品页为准。</x:v>
      </x:c>
      <x:c r="Q114" s="11" t="str">
        <x:v>未取得产品对应证据</x:v>
      </x:c>
      <x:c r="R114" s="11" t="str">
        <x:v>2026-10-05</x:v>
      </x:c>
      <x:c r="S114" s="11" t="str">
        <x:v>gsc-doll-1140127</x:v>
      </x:c>
      <x:c r="T114" s="11" t="str">
        <x:v>https://www.goodsmile.com/en/product/1140127</x:v>
      </x:c>
    </x:row>
    <x:row r="115" ht="111" customHeight="1">
      <x:c r="A115" s="11" t="str">
        <x:v>黏土人偶服装: Chocola</x:v>
      </x:c>
      <x:c r="B115" s="11" t="str">
        <x:v>Good Smile Company</x:v>
      </x:c>
      <x:c r="C115" s="12" t="str">
        <x:v>不适用</x:v>
      </x:c>
      <x:c r="D115" s="13" t="str">
        <x:v>服装成品、计划商品</x:v>
      </x:c>
      <x:c r="E115" s="20" t="str">
        <x:v>不适用</x:v>
      </x:c>
      <x:c r="F115" s="21"/>
      <x:c r="G115" s="16" t="str">
        <x:v>不适用</x:v>
      </x:c>
      <x:c r="H115" s="17" t="str">
        <x:v>布衣穿脱</x:v>
      </x:c>
      <x:c r="I115" s="18" t="str">
        <x:v>磁铁、布料、塑料</x:v>
      </x:c>
      <x:c r="J115" s="19" t="str">
        <x:v>服装配套</x:v>
      </x:c>
      <x:c r="K115" s="11" t="str">
        <x:v>Nendoroid Doll Outfit Set: Chocola</x:v>
      </x:c>
      <x:c r="L115" s="11" t="str">
        <x:v>未单独核对</x:v>
      </x:c>
      <x:c r="M115" s="11" t="str">
        <x:v>未披露</x:v>
      </x:c>
      <x:c r="N115" s="11" t="str">
        <x:v>本款官方产品页版本；再版与配色名称按原始商品名保留，不推断所有批次。</x:v>
      </x:c>
      <x:c r="O115" s="11" t="str">
        <x:v>不适用</x:v>
      </x:c>
      <x:c r="P115" s="11" t="str">
        <x:v>本款规格：比例未披露；材料：磁铁、布料、塑料；交付：服装成品、计划商品。
版本与商品范围：原始商品名：Nendoroid Doll Outfit Set: Chocola。作品／产品线：Nekopara Sekai Connect。官方页面标示出货月：2027-02；计划月份不作为已出货证明。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15" s="11" t="str">
        <x:v>未取得产品对应证据</x:v>
      </x:c>
      <x:c r="R115" s="11" t="str">
        <x:v>2026-10-05</x:v>
      </x:c>
      <x:c r="S115" s="11" t="str">
        <x:v>gsc-doll-1140128</x:v>
      </x:c>
      <x:c r="T115" s="11" t="str">
        <x:v>https://www.goodsmile.com/en/product/1140128</x:v>
      </x:c>
    </x:row>
    <x:row r="116" ht="111" customHeight="1">
      <x:c r="A116" s="11" t="str">
        <x:v>黏土人偶 Vanilla</x:v>
      </x:c>
      <x:c r="B116" s="11" t="str">
        <x:v>Good Smile Company</x:v>
      </x:c>
      <x:c r="C116" s="12" t="str">
        <x:v>关节可动</x:v>
      </x:c>
      <x:c r="D116" s="13" t="str">
        <x:v>成品含服、计划商品</x:v>
      </x:c>
      <x:c r="E116" s="20" t="str">
        <x:v>无固定比例</x:v>
      </x:c>
      <x:c r="F116" s="21" t="n">
        <x:v>140</x:v>
      </x:c>
      <x:c r="G116" s="16" t="str">
        <x:v>官方本款规格的约全高；是否计入底座未单独说明</x:v>
      </x:c>
      <x:c r="H116" s="17" t="str">
        <x:v>布衣穿脱、换手</x:v>
      </x:c>
      <x:c r="I116" s="18" t="str">
        <x:v>磁铁、布料、塑料</x:v>
      </x:c>
      <x:c r="J116" s="19" t="str">
        <x:v>角色人形</x:v>
      </x:c>
      <x:c r="K116" s="11" t="str">
        <x:v>Nendoroid Doll Vanilla</x:v>
      </x:c>
      <x:c r="L116" s="11" t="str">
        <x:v>未单独核对</x:v>
      </x:c>
      <x:c r="M116" s="11" t="str">
        <x:v>未披露</x:v>
      </x:c>
      <x:c r="N116" s="11" t="str">
        <x:v>本款官方产品页版本；再版与配色名称按原始商品名保留，不推断所有批次。</x:v>
      </x:c>
      <x:c r="O116" s="11" t="str">
        <x:v>高度 14 cm（官方本款规格的约全高；是否计入底座未单独说明）</x:v>
      </x:c>
      <x:c r="P116" s="11" t="str">
        <x:v>本款规格：无固定比例；高度 14 cm（官方本款规格的约全高；是否计入底座未单独说明）；材料：磁铁、布料、塑料；交付：成品含服、计划商品。
版本与商品范围：原始商品名：Nendoroid Doll Vanilla。作品／产品线：Nekopara Sekai Connect。官方页面标示出货月：2027-02；计划月份不作为已出货证明。
换件与适配：来源明确的操作：布衣穿脱、换手。跨品牌接口、身体和衣物互换不从系列名称推断；具体限制应以本款产品页为准。</x:v>
      </x:c>
      <x:c r="Q116" s="11" t="str">
        <x:v>未取得产品对应证据</x:v>
      </x:c>
      <x:c r="R116" s="11" t="str">
        <x:v>2026-10-05</x:v>
      </x:c>
      <x:c r="S116" s="11" t="str">
        <x:v>gsc-doll-1140129</x:v>
      </x:c>
      <x:c r="T116" s="11" t="str">
        <x:v>https://www.goodsmile.com/en/product/1140129</x:v>
      </x:c>
    </x:row>
    <x:row r="117" ht="111" customHeight="1">
      <x:c r="A117" s="11" t="str">
        <x:v>黏土人偶服装: Vanilla</x:v>
      </x:c>
      <x:c r="B117" s="11" t="str">
        <x:v>Good Smile Company</x:v>
      </x:c>
      <x:c r="C117" s="12" t="str">
        <x:v>不适用</x:v>
      </x:c>
      <x:c r="D117" s="13" t="str">
        <x:v>服装成品、计划商品</x:v>
      </x:c>
      <x:c r="E117" s="20" t="str">
        <x:v>不适用</x:v>
      </x:c>
      <x:c r="F117" s="21"/>
      <x:c r="G117" s="16" t="str">
        <x:v>不适用</x:v>
      </x:c>
      <x:c r="H117" s="17" t="str">
        <x:v>布衣穿脱</x:v>
      </x:c>
      <x:c r="I117" s="18" t="str">
        <x:v>磁铁、布料、塑料</x:v>
      </x:c>
      <x:c r="J117" s="19" t="str">
        <x:v>服装配套</x:v>
      </x:c>
      <x:c r="K117" s="11" t="str">
        <x:v>Nendoroid Doll Outfit Set: Vanilla</x:v>
      </x:c>
      <x:c r="L117" s="11" t="str">
        <x:v>未单独核对</x:v>
      </x:c>
      <x:c r="M117" s="11" t="str">
        <x:v>未披露</x:v>
      </x:c>
      <x:c r="N117" s="11" t="str">
        <x:v>本款官方产品页版本；再版与配色名称按原始商品名保留，不推断所有批次。</x:v>
      </x:c>
      <x:c r="O117" s="11" t="str">
        <x:v>不适用</x:v>
      </x:c>
      <x:c r="P117" s="11" t="str">
        <x:v>本款规格：比例未披露；材料：磁铁、布料、塑料；交付：服装成品、计划商品。
版本与商品范围：原始商品名：Nendoroid Doll Outfit Set: Vanilla。作品／产品线：Nekopara Sekai Connect。官方页面标示出货月：2027-02；计划月份不作为已出货证明。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17" s="11" t="str">
        <x:v>未取得产品对应证据</x:v>
      </x:c>
      <x:c r="R117" s="11" t="str">
        <x:v>2026-10-05</x:v>
      </x:c>
      <x:c r="S117" s="11" t="str">
        <x:v>gsc-doll-1140130</x:v>
      </x:c>
      <x:c r="T117" s="11" t="str">
        <x:v>https://www.goodsmile.com/en/product/1140130</x:v>
      </x:c>
    </x:row>
    <x:row r="118" ht="110" customHeight="1">
      <x:c r="A118" s="11" t="str">
        <x:v>黏土人偶 Picnic Parts Set</x:v>
      </x:c>
      <x:c r="B118" s="11" t="str">
        <x:v>Good Smile Company</x:v>
      </x:c>
      <x:c r="C118" s="12" t="str">
        <x:v>连接待核实</x:v>
      </x:c>
      <x:c r="D118" s="13" t="str">
        <x:v>成品含服、计划商品</x:v>
      </x:c>
      <x:c r="E118" s="20" t="str">
        <x:v>未披露</x:v>
      </x:c>
      <x:c r="F118" s="21"/>
      <x:c r="G118" s="16" t="str">
        <x:v>未披露</x:v>
      </x:c>
      <x:c r="H118" s="17" t="str">
        <x:v>换手</x:v>
      </x:c>
      <x:c r="I118" s="18" t="str">
        <x:v>塑料</x:v>
      </x:c>
      <x:c r="J118" s="19" t="str">
        <x:v>角色人形</x:v>
      </x:c>
      <x:c r="K118" s="11" t="str">
        <x:v>Nendoroid Doll Picnic Parts Set</x:v>
      </x:c>
      <x:c r="L118" s="11" t="str">
        <x:v>未单独核对</x:v>
      </x:c>
      <x:c r="M118" s="11" t="str">
        <x:v>未披露</x:v>
      </x:c>
      <x:c r="N118" s="11" t="str">
        <x:v>本款官方产品页版本；再版与配色名称按原始商品名保留，不推断所有批次。</x:v>
      </x:c>
      <x:c r="O118" s="11" t="str">
        <x:v>未披露</x:v>
      </x:c>
      <x:c r="P118" s="11" t="str">
        <x:v>本款规格：比例未披露；材料：塑料；交付：成品含服、计划商品。
版本与商品范围：原始商品名：Nendoroid Doll Picnic Parts Set。作品／产品线：Nendoroid Doll。官方页面标示出货月：2026-12；计划月份不作为已出货证明。
换件与适配：来源明确的操作：换手。跨品牌接口、身体和衣物互换不从系列名称推断；具体限制应以本款产品页为准。</x:v>
      </x:c>
      <x:c r="Q118" s="11" t="str">
        <x:v>未取得产品对应证据</x:v>
      </x:c>
      <x:c r="R118" s="11" t="str">
        <x:v>2026-10-05</x:v>
      </x:c>
      <x:c r="S118" s="11" t="str">
        <x:v>gsc-doll-1143950</x:v>
      </x:c>
      <x:c r="T118" s="11" t="str">
        <x:v>https://www.goodsmile.com/en/product/1143950</x:v>
      </x:c>
    </x:row>
    <x:row r="119" ht="126" customHeight="1">
      <x:c r="A119" s="11" t="str">
        <x:v>黏土人偶 Saber: Casual Outfit Ver.</x:v>
      </x:c>
      <x:c r="B119" s="11" t="str">
        <x:v>Good Smile Company</x:v>
      </x:c>
      <x:c r="C119" s="12" t="str">
        <x:v>不适用</x:v>
      </x:c>
      <x:c r="D119" s="13" t="str">
        <x:v>服装成品、计划商品</x:v>
      </x:c>
      <x:c r="E119" s="20" t="str">
        <x:v>不适用</x:v>
      </x:c>
      <x:c r="F119" s="21"/>
      <x:c r="G119" s="16" t="str">
        <x:v>不适用</x:v>
      </x:c>
      <x:c r="H119" s="17" t="str">
        <x:v>布衣穿脱、换手</x:v>
      </x:c>
      <x:c r="I119" s="18" t="str">
        <x:v>磁铁、布料、塑料</x:v>
      </x:c>
      <x:c r="J119" s="19" t="str">
        <x:v>服装配套</x:v>
      </x:c>
      <x:c r="K119" s="11" t="str">
        <x:v>Nendoroid Doll Saber: Casual Outfit Ver.</x:v>
      </x:c>
      <x:c r="L119" s="11" t="str">
        <x:v>未单独核对</x:v>
      </x:c>
      <x:c r="M119" s="11" t="str">
        <x:v>未披露</x:v>
      </x:c>
      <x:c r="N119" s="11" t="str">
        <x:v>本款官方产品页版本；再版与配色名称按原始商品名保留，不推断所有批次。</x:v>
      </x:c>
      <x:c r="O119" s="11" t="str">
        <x:v>不适用</x:v>
      </x:c>
      <x:c r="P119" s="11" t="str">
        <x:v>本款规格：无固定比例；高度 14 cm（官方本款规格的约全高；是否计入底座未单独说明）；材料：磁铁、布料、塑料；交付：服装成品、计划商品。
版本与商品范围：原始商品名：Nendoroid Doll Saber: Casual Outfit Ver.。作品／产品线：Fate/stay night。官方页面标示出货月：2027-02；计划月份不作为已出货证明。
换件与适配：来源明确的操作：布衣穿脱、换手。跨品牌接口、身体和衣物互换不从系列名称推断；具体限制应以本款产品页为准。商品为独立服装配套，本体及展示素体不计入本条交付。</x:v>
      </x:c>
      <x:c r="Q119" s="11" t="str">
        <x:v>未取得产品对应证据</x:v>
      </x:c>
      <x:c r="R119" s="11" t="str">
        <x:v>2026-10-05</x:v>
      </x:c>
      <x:c r="S119" s="11" t="str">
        <x:v>gsc-doll-1142290</x:v>
      </x:c>
      <x:c r="T119" s="11" t="str">
        <x:v>https://www.goodsmile.com/en/product/1142290</x:v>
      </x:c>
    </x:row>
    <x:row r="120" ht="111" customHeight="1">
      <x:c r="A120" s="11" t="str">
        <x:v>黏土人偶服装: Saber - Casual Outfit Ver.</x:v>
      </x:c>
      <x:c r="B120" s="11" t="str">
        <x:v>Good Smile Company</x:v>
      </x:c>
      <x:c r="C120" s="12" t="str">
        <x:v>不适用</x:v>
      </x:c>
      <x:c r="D120" s="13" t="str">
        <x:v>服装成品、计划商品</x:v>
      </x:c>
      <x:c r="E120" s="20" t="str">
        <x:v>不适用</x:v>
      </x:c>
      <x:c r="F120" s="21"/>
      <x:c r="G120" s="16" t="str">
        <x:v>不适用</x:v>
      </x:c>
      <x:c r="H120" s="17" t="str">
        <x:v>布衣穿脱</x:v>
      </x:c>
      <x:c r="I120" s="18" t="str">
        <x:v>磁铁、布料、塑料</x:v>
      </x:c>
      <x:c r="J120" s="19" t="str">
        <x:v>服装配套</x:v>
      </x:c>
      <x:c r="K120" s="11" t="str">
        <x:v>Nendoroid Doll Outfit Set: Saber - Casual Outfit Ver.</x:v>
      </x:c>
      <x:c r="L120" s="11" t="str">
        <x:v>未单独核对</x:v>
      </x:c>
      <x:c r="M120" s="11" t="str">
        <x:v>未披露</x:v>
      </x:c>
      <x:c r="N120" s="11" t="str">
        <x:v>本款官方产品页版本；再版与配色名称按原始商品名保留，不推断所有批次。</x:v>
      </x:c>
      <x:c r="O120" s="11" t="str">
        <x:v>不适用</x:v>
      </x:c>
      <x:c r="P120" s="11" t="str">
        <x:v>本款规格：比例未披露；材料：磁铁、布料、塑料；交付：服装成品、计划商品。
版本与商品范围：原始商品名：Nendoroid Doll Outfit Set: Saber - Casual Outfit Ver.。作品／产品线：Fate/stay night。官方页面标示出货月：2027-02；计划月份不作为已出货证明。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20" s="11" t="str">
        <x:v>未取得产品对应证据</x:v>
      </x:c>
      <x:c r="R120" s="11" t="str">
        <x:v>2026-10-05</x:v>
      </x:c>
      <x:c r="S120" s="11" t="str">
        <x:v>gsc-doll-1142291</x:v>
      </x:c>
      <x:c r="T120" s="11" t="str">
        <x:v>https://www.goodsmile.com/en/product/1142291</x:v>
      </x:c>
    </x:row>
    <x:row r="121" ht="111" customHeight="1">
      <x:c r="A121" s="11" t="str">
        <x:v>Near Harmonia Sentimental Circus.</x:v>
      </x:c>
      <x:c r="B121" s="11" t="str">
        <x:v>Good Smile Company</x:v>
      </x:c>
      <x:c r="C121" s="12" t="str">
        <x:v>关节可动</x:v>
      </x:c>
      <x:c r="D121" s="13" t="str">
        <x:v>成品含服</x:v>
      </x:c>
      <x:c r="E121" s="20" t="str">
        <x:v>无固定比例</x:v>
      </x:c>
      <x:c r="F121" s="21" t="n">
        <x:v>230</x:v>
      </x:c>
      <x:c r="G121" s="16" t="str">
        <x:v>官方本款规格的约全高；是否计入底座未单独说明</x:v>
      </x:c>
      <x:c r="H121" s="17" t="str">
        <x:v>布衣穿脱、换假发</x:v>
      </x:c>
      <x:c r="I121" s="18" t="str">
        <x:v>磁铁、布料、塑料</x:v>
      </x:c>
      <x:c r="J121" s="19" t="str">
        <x:v>角色人形</x:v>
      </x:c>
      <x:c r="K121" s="11" t="str">
        <x:v>Near Harmonia Sentimental Circus.</x:v>
      </x:c>
      <x:c r="L121" s="11" t="str">
        <x:v>未单独核对</x:v>
      </x:c>
      <x:c r="M121" s="11" t="str">
        <x:v>未披露</x:v>
      </x:c>
      <x:c r="N121" s="11" t="str">
        <x:v>本款官方产品页版本；再版与配色名称按原始商品名保留，不推断所有批次。</x:v>
      </x:c>
      <x:c r="O121" s="11" t="str">
        <x:v>高度 23 cm（官方本款规格的约全高；是否计入底座未单独说明）</x:v>
      </x:c>
      <x:c r="P121" s="11" t="str">
        <x:v>本款规格：无固定比例；高度 23 cm（官方本款规格的约全高；是否计入底座未单独说明）；材料：磁铁、布料、塑料；交付：成品含服。
版本与商品范围：原始商品名：Near Harmonia Sentimental Circus.。作品／产品线：Sentimental Circus.。官方页面标示出货月：2026-03；计划月份不作为已出货证明。
换件与适配：来源明确的操作：布衣穿脱、换假发。跨品牌接口、身体和衣物互换不从系列名称推断；具体限制应以本款产品页为准。</x:v>
      </x:c>
      <x:c r="Q121" s="11" t="str">
        <x:v>未取得产品对应证据</x:v>
      </x:c>
      <x:c r="R121" s="11" t="str">
        <x:v>2026-10-05</x:v>
      </x:c>
      <x:c r="S121" s="11" t="str">
        <x:v>gsc-harmonia-60764</x:v>
      </x:c>
      <x:c r="T121" s="11" t="str">
        <x:v>https://www.goodsmile.com/en/product/60764</x:v>
      </x:c>
    </x:row>
    <x:row r="122" ht="126" customHeight="1">
      <x:c r="A122" s="11" t="str">
        <x:v>Near Harmonia Ebiten no Shippo: Idol Ver. From Sumikkogurashi / Ebifurai no Shippo: Idol Ver. From Sumikkogurashi</x:v>
      </x:c>
      <x:c r="B122" s="11" t="str">
        <x:v>Good Smile Company</x:v>
      </x:c>
      <x:c r="C122" s="12" t="str">
        <x:v>关节可动</x:v>
      </x:c>
      <x:c r="D122" s="13" t="str">
        <x:v>成品含服</x:v>
      </x:c>
      <x:c r="E122" s="20" t="str">
        <x:v>无固定比例</x:v>
      </x:c>
      <x:c r="F122" s="21"/>
      <x:c r="G122" s="16" t="str">
        <x:v>未披露</x:v>
      </x:c>
      <x:c r="H122" s="17" t="str">
        <x:v>换假发</x:v>
      </x:c>
      <x:c r="I122" s="18" t="str">
        <x:v>磁铁、塑料</x:v>
      </x:c>
      <x:c r="J122" s="19" t="str">
        <x:v>角色人形</x:v>
      </x:c>
      <x:c r="K122" s="11" t="str">
        <x:v>Near Harmonia Ebiten no Shippo: Idol Ver. From Sumikkogurashi / Ebifurai no Shippo: Idol Ver. From Sumikkogurashi</x:v>
      </x:c>
      <x:c r="L122" s="11" t="str">
        <x:v>未单独核对</x:v>
      </x:c>
      <x:c r="M122" s="11" t="str">
        <x:v>未披露</x:v>
      </x:c>
      <x:c r="N122" s="11" t="str">
        <x:v>本款官方产品页版本；再版与配色名称按原始商品名保留，不推断所有批次。</x:v>
      </x:c>
      <x:c r="O122" s="11" t="str">
        <x:v>未披露</x:v>
      </x:c>
      <x:c r="P122" s="11" t="str">
        <x:v>本款规格：无固定比例；材料：磁铁、塑料；交付：成品含服。
版本与商品范围：原始商品名：Near Harmonia Ebiten no Shippo: Idol Ver. From Sumikkogurashi / Ebifurai no Shippo: Idol Ver. From Sumikkogurashi。作品／产品线：Sumikkogurashi。官方页面标示出货月：2025-11；计划月份不作为已出货证明。
换件与适配：来源明确的操作：换假发。跨品牌接口、身体和衣物互换不从系列名称推断；具体限制应以本款产品页为准。</x:v>
      </x:c>
      <x:c r="Q122" s="11" t="str">
        <x:v>未取得产品对应证据</x:v>
      </x:c>
      <x:c r="R122" s="11" t="str">
        <x:v>2026-10-05</x:v>
      </x:c>
      <x:c r="S122" s="11" t="str">
        <x:v>gsc-harmonia-60765</x:v>
      </x:c>
      <x:c r="T122" s="11" t="str">
        <x:v>https://www.goodsmile.com/en/product/60765</x:v>
      </x:c>
    </x:row>
    <x:row r="123" ht="111" customHeight="1">
      <x:c r="A123" s="11" t="str">
        <x:v>Near Harmonia Modoria/Lavina/Poppy</x:v>
      </x:c>
      <x:c r="B123" s="11" t="str">
        <x:v>Good Smile Company</x:v>
      </x:c>
      <x:c r="C123" s="12" t="str">
        <x:v>关节可动</x:v>
      </x:c>
      <x:c r="D123" s="13" t="str">
        <x:v>成品含服</x:v>
      </x:c>
      <x:c r="E123" s="20" t="str">
        <x:v>无固定比例</x:v>
      </x:c>
      <x:c r="F123" s="21" t="n">
        <x:v>230</x:v>
      </x:c>
      <x:c r="G123" s="16" t="str">
        <x:v>官方本款规格的约全高；是否计入底座未单独说明</x:v>
      </x:c>
      <x:c r="H123" s="17" t="str">
        <x:v>布衣穿脱、换假发</x:v>
      </x:c>
      <x:c r="I123" s="18" t="str">
        <x:v>磁铁、布料、塑料</x:v>
      </x:c>
      <x:c r="J123" s="19" t="str">
        <x:v>角色人形</x:v>
      </x:c>
      <x:c r="K123" s="11" t="str">
        <x:v>Near Harmonia Modoria/Lavina/Poppy</x:v>
      </x:c>
      <x:c r="L123" s="11" t="str">
        <x:v>未单独核对</x:v>
      </x:c>
      <x:c r="M123" s="11" t="str">
        <x:v>未披露</x:v>
      </x:c>
      <x:c r="N123" s="11" t="str">
        <x:v>本款官方产品页版本；再版与配色名称按原始商品名保留，不推断所有批次。</x:v>
      </x:c>
      <x:c r="O123" s="11" t="str">
        <x:v>高度 23 cm（官方本款规格的约全高；是否计入底座未单独说明）</x:v>
      </x:c>
      <x:c r="P123" s="11" t="str">
        <x:v>本款规格：无固定比例；高度 23 cm（官方本款规格的约全高；是否计入底座未单独说明）；材料：磁铁、布料、塑料；交付：成品含服。
版本与商品范围：原始商品名：Near Harmonia Modoria/Lavina/Poppy。作品／产品线：Harmonia series。官方页面标示出货月：2025-09；计划月份不作为已出货证明。
换件与适配：来源明确的操作：布衣穿脱、换假发。跨品牌接口、身体和衣物互换不从系列名称推断；具体限制应以本款产品页为准。</x:v>
      </x:c>
      <x:c r="Q123" s="11" t="str">
        <x:v>未取得产品对应证据</x:v>
      </x:c>
      <x:c r="R123" s="11" t="str">
        <x:v>2026-10-05</x:v>
      </x:c>
      <x:c r="S123" s="11" t="str">
        <x:v>gsc-harmonia-1136213</x:v>
      </x:c>
      <x:c r="T123" s="11" t="str">
        <x:v>https://www.goodsmile.com/en/product/1136213</x:v>
      </x:c>
    </x:row>
    <x:row r="124" ht="110" customHeight="1">
      <x:c r="A124" s="11" t="str">
        <x:v>Near Harmonia Potato from Pui Pui Molcar</x:v>
      </x:c>
      <x:c r="B124" s="11" t="str">
        <x:v>Good Smile Company</x:v>
      </x:c>
      <x:c r="C124" s="12" t="str">
        <x:v>关节可动</x:v>
      </x:c>
      <x:c r="D124" s="13" t="str">
        <x:v>成品含服</x:v>
      </x:c>
      <x:c r="E124" s="20" t="str">
        <x:v>无固定比例</x:v>
      </x:c>
      <x:c r="F124" s="21"/>
      <x:c r="G124" s="16" t="str">
        <x:v>未披露</x:v>
      </x:c>
      <x:c r="H124" s="17" t="str">
        <x:v>换假发</x:v>
      </x:c>
      <x:c r="I124" s="18" t="str">
        <x:v>磁铁、塑料</x:v>
      </x:c>
      <x:c r="J124" s="19" t="str">
        <x:v>角色人形</x:v>
      </x:c>
      <x:c r="K124" s="11" t="str">
        <x:v>Near Harmonia Potato from Pui Pui Molcar</x:v>
      </x:c>
      <x:c r="L124" s="11" t="str">
        <x:v>未单独核对</x:v>
      </x:c>
      <x:c r="M124" s="11" t="str">
        <x:v>未披露</x:v>
      </x:c>
      <x:c r="N124" s="11" t="str">
        <x:v>本款官方产品页版本；再版与配色名称按原始商品名保留，不推断所有批次。</x:v>
      </x:c>
      <x:c r="O124" s="11" t="str">
        <x:v>未披露</x:v>
      </x:c>
      <x:c r="P124" s="11" t="str">
        <x:v>本款规格：无固定比例；材料：磁铁、塑料；交付：成品含服。
版本与商品范围：原始商品名：Near Harmonia Potato from Pui Pui Molcar。作品／产品线：Pui Pui Molcar。官方页面标示出货月：2025-06；计划月份不作为已出货证明。
换件与适配：来源明确的操作：换假发。跨品牌接口、身体和衣物互换不从系列名称推断；具体限制应以本款产品页为准。</x:v>
      </x:c>
      <x:c r="Q124" s="11" t="str">
        <x:v>未取得产品对应证据</x:v>
      </x:c>
      <x:c r="R124" s="11" t="str">
        <x:v>2026-10-05</x:v>
      </x:c>
      <x:c r="S124" s="11" t="str">
        <x:v>gsc-harmonia-55924</x:v>
      </x:c>
      <x:c r="T124" s="11" t="str">
        <x:v>https://www.goodsmile.com/en/product/55924</x:v>
      </x:c>
    </x:row>
    <x:row r="125" ht="110" customHeight="1">
      <x:c r="A125" s="11" t="str">
        <x:v>Near Harmonia Shiromo from Pui Pui Molcar</x:v>
      </x:c>
      <x:c r="B125" s="11" t="str">
        <x:v>Good Smile Company</x:v>
      </x:c>
      <x:c r="C125" s="12" t="str">
        <x:v>关节可动</x:v>
      </x:c>
      <x:c r="D125" s="13" t="str">
        <x:v>成品含服</x:v>
      </x:c>
      <x:c r="E125" s="20" t="str">
        <x:v>无固定比例</x:v>
      </x:c>
      <x:c r="F125" s="21"/>
      <x:c r="G125" s="16" t="str">
        <x:v>未披露</x:v>
      </x:c>
      <x:c r="H125" s="17" t="str">
        <x:v>换假发</x:v>
      </x:c>
      <x:c r="I125" s="18" t="str">
        <x:v>磁铁、塑料</x:v>
      </x:c>
      <x:c r="J125" s="19" t="str">
        <x:v>角色人形</x:v>
      </x:c>
      <x:c r="K125" s="11" t="str">
        <x:v>Near Harmonia Shiromo from Pui Pui Molcar</x:v>
      </x:c>
      <x:c r="L125" s="11" t="str">
        <x:v>未单独核对</x:v>
      </x:c>
      <x:c r="M125" s="11" t="str">
        <x:v>未披露</x:v>
      </x:c>
      <x:c r="N125" s="11" t="str">
        <x:v>本款官方产品页版本；再版与配色名称按原始商品名保留，不推断所有批次。</x:v>
      </x:c>
      <x:c r="O125" s="11" t="str">
        <x:v>未披露</x:v>
      </x:c>
      <x:c r="P125" s="11" t="str">
        <x:v>本款规格：无固定比例；材料：磁铁、塑料；交付：成品含服。
版本与商品范围：原始商品名：Near Harmonia Shiromo from Pui Pui Molcar。作品／产品线：Pui Pui Molcar。官方页面标示出货月：2025-06；计划月份不作为已出货证明。
换件与适配：来源明确的操作：换假发。跨品牌接口、身体和衣物互换不从系列名称推断；具体限制应以本款产品页为准。</x:v>
      </x:c>
      <x:c r="Q125" s="11" t="str">
        <x:v>未取得产品对应证据</x:v>
      </x:c>
      <x:c r="R125" s="11" t="str">
        <x:v>2026-10-05</x:v>
      </x:c>
      <x:c r="S125" s="11" t="str">
        <x:v>gsc-harmonia-55925</x:v>
      </x:c>
      <x:c r="T125" s="11" t="str">
        <x:v>https://www.goodsmile.com/en/product/55925</x:v>
      </x:c>
    </x:row>
    <x:row r="126" ht="111" customHeight="1">
      <x:c r="A126" s="11" t="str">
        <x:v>Near Harmonia Curious/Chatty/Mellow</x:v>
      </x:c>
      <x:c r="B126" s="11" t="str">
        <x:v>Good Smile Company</x:v>
      </x:c>
      <x:c r="C126" s="12" t="str">
        <x:v>关节可动</x:v>
      </x:c>
      <x:c r="D126" s="13" t="str">
        <x:v>成品含服</x:v>
      </x:c>
      <x:c r="E126" s="20" t="str">
        <x:v>无固定比例</x:v>
      </x:c>
      <x:c r="F126" s="21" t="n">
        <x:v>230</x:v>
      </x:c>
      <x:c r="G126" s="16" t="str">
        <x:v>官方本款规格的约全高；是否计入底座未单独说明</x:v>
      </x:c>
      <x:c r="H126" s="17" t="str">
        <x:v>布衣穿脱、换假发</x:v>
      </x:c>
      <x:c r="I126" s="18" t="str">
        <x:v>磁铁、布料、塑料</x:v>
      </x:c>
      <x:c r="J126" s="19" t="str">
        <x:v>角色人形</x:v>
      </x:c>
      <x:c r="K126" s="11" t="str">
        <x:v>Near Harmonia Curious/Chatty/Mellow</x:v>
      </x:c>
      <x:c r="L126" s="11" t="str">
        <x:v>未单独核对</x:v>
      </x:c>
      <x:c r="M126" s="11" t="str">
        <x:v>未披露</x:v>
      </x:c>
      <x:c r="N126" s="11" t="str">
        <x:v>本款官方产品页版本；再版与配色名称按原始商品名保留，不推断所有批次。</x:v>
      </x:c>
      <x:c r="O126" s="11" t="str">
        <x:v>高度 23 cm（官方本款规格的约全高；是否计入底座未单独说明）</x:v>
      </x:c>
      <x:c r="P126" s="11" t="str">
        <x:v>本款规格：无固定比例；高度 23 cm（官方本款规格的约全高；是否计入底座未单独说明）；材料：磁铁、布料、塑料；交付：成品含服。
版本与商品范围：原始商品名：Near Harmonia Curious/Chatty/Mellow。作品／产品线：Near Harmonia。官方页面标示出货月：2024-10；计划月份不作为已出货证明。
换件与适配：来源明确的操作：布衣穿脱、换假发。跨品牌接口、身体和衣物互换不从系列名称推断；具体限制应以本款产品页为准。</x:v>
      </x:c>
      <x:c r="Q126" s="11" t="str">
        <x:v>未取得产品对应证据</x:v>
      </x:c>
      <x:c r="R126" s="11" t="str">
        <x:v>2026-10-05</x:v>
      </x:c>
      <x:c r="S126" s="11" t="str">
        <x:v>gsc-harmonia-60130</x:v>
      </x:c>
      <x:c r="T126" s="11" t="str">
        <x:v>https://www.goodsmile.com/en/product/60130</x:v>
      </x:c>
    </x:row>
    <x:row r="127" ht="111" customHeight="1">
      <x:c r="A127" s="11" t="str">
        <x:v>Harmonia humming 雪初音</x:v>
      </x:c>
      <x:c r="B127" s="11" t="str">
        <x:v>Good Smile Company</x:v>
      </x:c>
      <x:c r="C127" s="12" t="str">
        <x:v>关节可动</x:v>
      </x:c>
      <x:c r="D127" s="13" t="str">
        <x:v>成品含服</x:v>
      </x:c>
      <x:c r="E127" s="20" t="str">
        <x:v>无固定比例</x:v>
      </x:c>
      <x:c r="F127" s="21" t="n">
        <x:v>230</x:v>
      </x:c>
      <x:c r="G127" s="16" t="str">
        <x:v>官方本款规格的约全高；是否计入底座未单独说明</x:v>
      </x:c>
      <x:c r="H127" s="17" t="str">
        <x:v>布衣穿脱、换假发</x:v>
      </x:c>
      <x:c r="I127" s="18" t="str">
        <x:v>磁铁、布料、塑料</x:v>
      </x:c>
      <x:c r="J127" s="19" t="str">
        <x:v>角色人形</x:v>
      </x:c>
      <x:c r="K127" s="11" t="str">
        <x:v>Harmonia humming Snow Miku</x:v>
      </x:c>
      <x:c r="L127" s="11" t="str">
        <x:v>未单独核对</x:v>
      </x:c>
      <x:c r="M127" s="11" t="str">
        <x:v>未披露</x:v>
      </x:c>
      <x:c r="N127" s="11" t="str">
        <x:v>本款官方产品页版本；再版与配色名称按原始商品名保留，不推断所有批次。</x:v>
      </x:c>
      <x:c r="O127" s="11" t="str">
        <x:v>高度 23 cm（官方本款规格的约全高；是否计入底座未单独说明）</x:v>
      </x:c>
      <x:c r="P127" s="11" t="str">
        <x:v>本款规格：无固定比例；高度 23 cm（官方本款规格的约全高；是否计入底座未单独说明）；材料：磁铁、布料、塑料；交付：成品含服。
版本与商品范围：原始商品名：Harmonia humming Snow Miku。作品／产品线：Character Vocal Series 01: Hatsune Miku。官方页面标示出货月：2025-01；计划月份不作为已出货证明。
换件与适配：来源明确的操作：布衣穿脱、换假发。跨品牌接口、身体和衣物互换不从系列名称推断；具体限制应以本款产品页为准。</x:v>
      </x:c>
      <x:c r="Q127" s="11" t="str">
        <x:v>未取得产品对应证据</x:v>
      </x:c>
      <x:c r="R127" s="11" t="str">
        <x:v>2026-10-05</x:v>
      </x:c>
      <x:c r="S127" s="11" t="str">
        <x:v>gsc-harmonia-45955</x:v>
      </x:c>
      <x:c r="T127" s="11" t="str">
        <x:v>https://www.goodsmile.com/en/product/45955</x:v>
      </x:c>
    </x:row>
    <x:row r="128" ht="111" customHeight="1">
      <x:c r="A128" s="11" t="str">
        <x:v>Harmonia bloom Pretender/Oberon: First Ascension</x:v>
      </x:c>
      <x:c r="B128" s="11" t="str">
        <x:v>Good Smile Company</x:v>
      </x:c>
      <x:c r="C128" s="12" t="str">
        <x:v>关节可动</x:v>
      </x:c>
      <x:c r="D128" s="13" t="str">
        <x:v>成品含服</x:v>
      </x:c>
      <x:c r="E128" s="20" t="str">
        <x:v>无固定比例</x:v>
      </x:c>
      <x:c r="F128" s="21"/>
      <x:c r="G128" s="16" t="str">
        <x:v>未披露</x:v>
      </x:c>
      <x:c r="H128" s="17" t="str">
        <x:v>布衣穿脱、换假发</x:v>
      </x:c>
      <x:c r="I128" s="18" t="str">
        <x:v>磁铁、布料、塑料</x:v>
      </x:c>
      <x:c r="J128" s="19" t="str">
        <x:v>角色人形</x:v>
      </x:c>
      <x:c r="K128" s="11" t="str">
        <x:v>Harmonia bloom Pretender/Oberon: First Ascension</x:v>
      </x:c>
      <x:c r="L128" s="11" t="str">
        <x:v>未单独核对</x:v>
      </x:c>
      <x:c r="M128" s="11" t="str">
        <x:v>未披露</x:v>
      </x:c>
      <x:c r="N128" s="11" t="str">
        <x:v>本款官方产品页版本；再版与配色名称按原始商品名保留，不推断所有批次。</x:v>
      </x:c>
      <x:c r="O128" s="11" t="str">
        <x:v>未披露</x:v>
      </x:c>
      <x:c r="P128" s="11" t="str">
        <x:v>本款规格：无固定比例；材料：磁铁、布料、塑料；交付：成品含服。
版本与商品范围：原始商品名：Harmonia bloom Pretender/Oberon: First Ascension。作品／产品线：Fate/Grand Order。官方页面标示出货月：2024-09；计划月份不作为已出货证明。
换件与适配：来源明确的操作：布衣穿脱、换假发。跨品牌接口、身体和衣物互换不从系列名称推断；具体限制应以本款产品页为准。</x:v>
      </x:c>
      <x:c r="Q128" s="11" t="str">
        <x:v>未取得产品对应证据</x:v>
      </x:c>
      <x:c r="R128" s="11" t="str">
        <x:v>2026-10-05</x:v>
      </x:c>
      <x:c r="S128" s="11" t="str">
        <x:v>gsc-harmonia-54164</x:v>
      </x:c>
      <x:c r="T128" s="11" t="str">
        <x:v>https://www.goodsmile.com/en/product/54164</x:v>
      </x:c>
    </x:row>
    <x:row r="129" ht="111" customHeight="1">
      <x:c r="A129" s="11" t="str">
        <x:v>Harmonia bloom blooming doll root (Body/Sunrise）</x:v>
      </x:c>
      <x:c r="B129" s="11" t="str">
        <x:v>Good Smile Company</x:v>
      </x:c>
      <x:c r="C129" s="12" t="str">
        <x:v>关节可动</x:v>
      </x:c>
      <x:c r="D129" s="13" t="str">
        <x:v>素体成品</x:v>
      </x:c>
      <x:c r="E129" s="20" t="str">
        <x:v>无固定比例</x:v>
      </x:c>
      <x:c r="F129" s="21" t="n">
        <x:v>170</x:v>
      </x:c>
      <x:c r="G129" s="16" t="str">
        <x:v>官方本款规格的约全高；是否计入底座未单独说明</x:v>
      </x:c>
      <x:c r="H129" s="17" t="str">
        <x:v>未披露</x:v>
      </x:c>
      <x:c r="I129" s="18" t="str">
        <x:v>塑料</x:v>
      </x:c>
      <x:c r="J129" s="19" t="str">
        <x:v>素体</x:v>
      </x:c>
      <x:c r="K129" s="11" t="str">
        <x:v>Harmonia bloom blooming doll root (Body/Sunrise）</x:v>
      </x:c>
      <x:c r="L129" s="11" t="str">
        <x:v>未单独核对</x:v>
      </x:c>
      <x:c r="M129" s="11" t="str">
        <x:v>未披露</x:v>
      </x:c>
      <x:c r="N129" s="11" t="str">
        <x:v>本款官方产品页版本；再版与配色名称按原始商品名保留，不推断所有批次。</x:v>
      </x:c>
      <x:c r="O129" s="11" t="str">
        <x:v>高度 17 cm（官方本款规格的约全高；是否计入底座未单独说明）</x:v>
      </x:c>
      <x:c r="P129" s="11" t="str">
        <x:v>本款规格：无固定比例；高度 17 cm（官方本款规格的约全高；是否计入底座未单独说明）；材料：塑料；交付：素体成品。
版本与商品范围：原始商品名：Harmonia bloom blooming doll root (Body/Sunrise）。作品／产品线：Harmonia bloom。官方页面标示出货月：2024-12；计划月份不作为已出货证明。
换件与适配：页面未明确布衣穿脱或跨产品换件范围。跨品牌接口、身体和衣物互换不从系列名称推断；具体限制应以本款产品页为准。</x:v>
      </x:c>
      <x:c r="Q129" s="11" t="str">
        <x:v>未取得产品对应证据</x:v>
      </x:c>
      <x:c r="R129" s="11" t="str">
        <x:v>2026-10-05</x:v>
      </x:c>
      <x:c r="S129" s="11" t="str">
        <x:v>gsc-harmonia-36197</x:v>
      </x:c>
      <x:c r="T129" s="11" t="str">
        <x:v>https://www.goodsmile.com/en/product/36197</x:v>
      </x:c>
    </x:row>
    <x:row r="130" ht="111" customHeight="1">
      <x:c r="A130" s="11" t="str">
        <x:v>Harmonia bloom blooming doll root (Body/Sunset）</x:v>
      </x:c>
      <x:c r="B130" s="11" t="str">
        <x:v>Good Smile Company</x:v>
      </x:c>
      <x:c r="C130" s="12" t="str">
        <x:v>关节可动</x:v>
      </x:c>
      <x:c r="D130" s="13" t="str">
        <x:v>素体成品</x:v>
      </x:c>
      <x:c r="E130" s="20" t="str">
        <x:v>无固定比例</x:v>
      </x:c>
      <x:c r="F130" s="21" t="n">
        <x:v>170</x:v>
      </x:c>
      <x:c r="G130" s="16" t="str">
        <x:v>官方本款规格的约全高；是否计入底座未单独说明</x:v>
      </x:c>
      <x:c r="H130" s="17" t="str">
        <x:v>未披露</x:v>
      </x:c>
      <x:c r="I130" s="18" t="str">
        <x:v>塑料</x:v>
      </x:c>
      <x:c r="J130" s="19" t="str">
        <x:v>素体</x:v>
      </x:c>
      <x:c r="K130" s="11" t="str">
        <x:v>Harmonia bloom blooming doll root (Body/Sunset）</x:v>
      </x:c>
      <x:c r="L130" s="11" t="str">
        <x:v>未单独核对</x:v>
      </x:c>
      <x:c r="M130" s="11" t="str">
        <x:v>未披露</x:v>
      </x:c>
      <x:c r="N130" s="11" t="str">
        <x:v>本款官方产品页版本；再版与配色名称按原始商品名保留，不推断所有批次。</x:v>
      </x:c>
      <x:c r="O130" s="11" t="str">
        <x:v>高度 17 cm（官方本款规格的约全高；是否计入底座未单独说明）</x:v>
      </x:c>
      <x:c r="P130" s="11" t="str">
        <x:v>本款规格：无固定比例；高度 17 cm（官方本款规格的约全高；是否计入底座未单独说明）；材料：塑料；交付：素体成品。
版本与商品范围：原始商品名：Harmonia bloom blooming doll root (Body/Sunset）。作品／产品线：Harmonia bloom。官方页面标示出货月：2024-12；计划月份不作为已出货证明。
换件与适配：页面未明确布衣穿脱或跨产品换件范围。跨品牌接口、身体和衣物互换不从系列名称推断；具体限制应以本款产品页为准。</x:v>
      </x:c>
      <x:c r="Q130" s="11" t="str">
        <x:v>未取得产品对应证据</x:v>
      </x:c>
      <x:c r="R130" s="11" t="str">
        <x:v>2026-10-05</x:v>
      </x:c>
      <x:c r="S130" s="11" t="str">
        <x:v>gsc-harmonia-36198</x:v>
      </x:c>
      <x:c r="T130" s="11" t="str">
        <x:v>https://www.goodsmile.com/en/product/36198</x:v>
      </x:c>
    </x:row>
    <x:row r="131" ht="111" customHeight="1">
      <x:c r="A131" s="11" t="str">
        <x:v>Harmonia bloom Special Outfit Series (bloom/root) Designed by babydo</x:v>
      </x:c>
      <x:c r="B131" s="11" t="str">
        <x:v>Good Smile Company</x:v>
      </x:c>
      <x:c r="C131" s="12" t="str">
        <x:v>不适用</x:v>
      </x:c>
      <x:c r="D131" s="13" t="str">
        <x:v>服装成品</x:v>
      </x:c>
      <x:c r="E131" s="20" t="str">
        <x:v>不适用</x:v>
      </x:c>
      <x:c r="F131" s="21"/>
      <x:c r="G131" s="16" t="str">
        <x:v>不适用</x:v>
      </x:c>
      <x:c r="H131" s="17" t="str">
        <x:v>布衣穿脱</x:v>
      </x:c>
      <x:c r="I131" s="18" t="str">
        <x:v>布料、塑料</x:v>
      </x:c>
      <x:c r="J131" s="19" t="str">
        <x:v>服装配套</x:v>
      </x:c>
      <x:c r="K131" s="11" t="str">
        <x:v>Harmonia bloom Special Outfit Series (bloom/root) Designed by babydo</x:v>
      </x:c>
      <x:c r="L131" s="11" t="str">
        <x:v>未单独核对</x:v>
      </x:c>
      <x:c r="M131" s="11" t="str">
        <x:v>未披露</x:v>
      </x:c>
      <x:c r="N131" s="11" t="str">
        <x:v>本款官方产品页版本；再版与配色名称按原始商品名保留，不推断所有批次。</x:v>
      </x:c>
      <x:c r="O131" s="11" t="str">
        <x:v>不适用</x:v>
      </x:c>
      <x:c r="P131" s="11" t="str">
        <x:v>本款规格：比例未披露；材料：布料、塑料；交付：服装成品。
版本与商品范围：原始商品名：Harmonia bloom Special Outfit Series (bloom/root) Designed by babydo。作品／产品线：Harmonia bloom。官方页面标示出货月：2023-10；计划月份不作为已出货证明。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31" s="11" t="str">
        <x:v>未取得产品对应证据</x:v>
      </x:c>
      <x:c r="R131" s="11" t="str">
        <x:v>2026-10-05</x:v>
      </x:c>
      <x:c r="S131" s="11" t="str">
        <x:v>gsc-harmonia-12310</x:v>
      </x:c>
      <x:c r="T131" s="11" t="str">
        <x:v>https://www.goodsmile.com/en/product/12310</x:v>
      </x:c>
    </x:row>
    <x:row r="132" ht="111" customHeight="1">
      <x:c r="A132" s="11" t="str">
        <x:v>Harmonia bloom Make &amp; Body set root (Volker)</x:v>
      </x:c>
      <x:c r="B132" s="11" t="str">
        <x:v>Good Smile Company</x:v>
      </x:c>
      <x:c r="C132" s="12" t="str">
        <x:v>关节可动</x:v>
      </x:c>
      <x:c r="D132" s="13" t="str">
        <x:v>素体成品</x:v>
      </x:c>
      <x:c r="E132" s="20" t="str">
        <x:v>无固定比例</x:v>
      </x:c>
      <x:c r="F132" s="21" t="n">
        <x:v>240</x:v>
      </x:c>
      <x:c r="G132" s="16" t="str">
        <x:v>官方本款规格的约全高；是否计入底座未单独说明</x:v>
      </x:c>
      <x:c r="H132" s="17" t="str">
        <x:v>换假发</x:v>
      </x:c>
      <x:c r="I132" s="18" t="str">
        <x:v>磁铁、塑料</x:v>
      </x:c>
      <x:c r="J132" s="19" t="str">
        <x:v>素体</x:v>
      </x:c>
      <x:c r="K132" s="11" t="str">
        <x:v>Harmonia bloom Make &amp; Body set root (Volker)</x:v>
      </x:c>
      <x:c r="L132" s="11" t="str">
        <x:v>未单独核对</x:v>
      </x:c>
      <x:c r="M132" s="11" t="str">
        <x:v>2023-11 再版：日本鸟取 Lucky Factory；其他批次未单独核实</x:v>
      </x:c>
      <x:c r="N132" s="11" t="str">
        <x:v>本款官方产品页版本；再版与配色名称按原始商品名保留，不推断所有批次。</x:v>
      </x:c>
      <x:c r="O132" s="11" t="str">
        <x:v>高度 24 cm（官方本款规格的约全高；是否计入底座未单独说明）</x:v>
      </x:c>
      <x:c r="P132" s="11" t="str">
        <x:v>本款规格：无固定比例；高度 24 cm（官方本款规格的约全高；是否计入底座未单独说明）；材料：磁铁、塑料；交付：素体成品。
版本与商品范围：原始商品名：Harmonia bloom Make &amp; Body set root (Volker)。作品／产品线：Harmonia bloom。官方页面标示出货月：2024-07；计划月份不作为已出货证明。
换件与适配：来源明确的操作：换假发。跨品牌接口、身体和衣物互换不从系列名称推断；具体限制应以本款产品页为准。</x:v>
      </x:c>
      <x:c r="Q132" s="11" t="str">
        <x:v>未取得产品对应证据</x:v>
      </x:c>
      <x:c r="R132" s="11" t="str">
        <x:v>2026-10-05</x:v>
      </x:c>
      <x:c r="S132" s="11" t="str">
        <x:v>gsc-harmonia-12385</x:v>
      </x:c>
      <x:c r="T132" s="11" t="str">
        <x:v>https://www.goodsmile.com/en/product/12385</x:v>
      </x:c>
    </x:row>
    <x:row r="133" ht="111" customHeight="1">
      <x:c r="A133" s="11" t="str">
        <x:v>Harmonia bloom Outfit set (root) Hunter</x:v>
      </x:c>
      <x:c r="B133" s="11" t="str">
        <x:v>Good Smile Company</x:v>
      </x:c>
      <x:c r="C133" s="12" t="str">
        <x:v>不适用</x:v>
      </x:c>
      <x:c r="D133" s="13" t="str">
        <x:v>服装成品</x:v>
      </x:c>
      <x:c r="E133" s="20" t="str">
        <x:v>不适用</x:v>
      </x:c>
      <x:c r="F133" s="21"/>
      <x:c r="G133" s="16" t="str">
        <x:v>不适用</x:v>
      </x:c>
      <x:c r="H133" s="17" t="str">
        <x:v>布衣穿脱</x:v>
      </x:c>
      <x:c r="I133" s="18" t="str">
        <x:v>磁铁、布料、塑料</x:v>
      </x:c>
      <x:c r="J133" s="19" t="str">
        <x:v>服装配套</x:v>
      </x:c>
      <x:c r="K133" s="11" t="str">
        <x:v>Harmonia bloom Outfit set (root) Hunter</x:v>
      </x:c>
      <x:c r="L133" s="11" t="str">
        <x:v>未单独核对</x:v>
      </x:c>
      <x:c r="M133" s="11" t="str">
        <x:v>未披露</x:v>
      </x:c>
      <x:c r="N133" s="11" t="str">
        <x:v>本款官方产品页版本；再版与配色名称按原始商品名保留，不推断所有批次。</x:v>
      </x:c>
      <x:c r="O133" s="11" t="str">
        <x:v>不适用</x:v>
      </x:c>
      <x:c r="P133" s="11" t="str">
        <x:v>本款规格：无固定比例；材料：磁铁、布料、塑料；交付：服装成品。
版本与商品范围：原始商品名：Harmonia bloom Outfit set (root) Hunter。作品／产品线：Harmonia bloom。官方页面标示出货月：2024-07；计划月份不作为已出货证明。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33" s="11" t="str">
        <x:v>未取得产品对应证据</x:v>
      </x:c>
      <x:c r="R133" s="11" t="str">
        <x:v>2026-10-05</x:v>
      </x:c>
      <x:c r="S133" s="11" t="str">
        <x:v>gsc-harmonia-12384</x:v>
      </x:c>
      <x:c r="T133" s="11" t="str">
        <x:v>https://www.goodsmile.com/en/product/12384</x:v>
      </x:c>
    </x:row>
    <x:row r="134" ht="111" customHeight="1">
      <x:c r="A134" s="11" t="str">
        <x:v>Harmonia bloom Volker Honest hunter</x:v>
      </x:c>
      <x:c r="B134" s="11" t="str">
        <x:v>Good Smile Company</x:v>
      </x:c>
      <x:c r="C134" s="12" t="str">
        <x:v>关节可动</x:v>
      </x:c>
      <x:c r="D134" s="13" t="str">
        <x:v>成品含服</x:v>
      </x:c>
      <x:c r="E134" s="20" t="str">
        <x:v>无固定比例</x:v>
      </x:c>
      <x:c r="F134" s="21" t="n">
        <x:v>240</x:v>
      </x:c>
      <x:c r="G134" s="16" t="str">
        <x:v>官方本款规格的约全高；是否计入底座未单独说明</x:v>
      </x:c>
      <x:c r="H134" s="17" t="str">
        <x:v>布衣穿脱、换假发</x:v>
      </x:c>
      <x:c r="I134" s="18" t="str">
        <x:v>磁铁、布料、塑料</x:v>
      </x:c>
      <x:c r="J134" s="19" t="str">
        <x:v>角色人形</x:v>
      </x:c>
      <x:c r="K134" s="11" t="str">
        <x:v>Harmonia bloom Volker Honest hunter</x:v>
      </x:c>
      <x:c r="L134" s="11" t="str">
        <x:v>未单独核对</x:v>
      </x:c>
      <x:c r="M134" s="11" t="str">
        <x:v>2023-11 再版：日本鸟取 Lucky Factory；其他批次未单独核实</x:v>
      </x:c>
      <x:c r="N134" s="11" t="str">
        <x:v>本款官方产品页版本；再版与配色名称按原始商品名保留，不推断所有批次。</x:v>
      </x:c>
      <x:c r="O134" s="11" t="str">
        <x:v>高度 24 cm（官方本款规格的约全高；是否计入底座未单独说明）</x:v>
      </x:c>
      <x:c r="P134" s="11" t="str">
        <x:v>本款规格：无固定比例；高度 24 cm（官方本款规格的约全高；是否计入底座未单独说明）；材料：磁铁、布料、塑料；交付：成品含服。
版本与商品范围：原始商品名：Harmonia bloom Volker Honest hunter。作品／产品线：Harmonia bloom。官方页面标示出货月：2024-07；计划月份不作为已出货证明。
换件与适配：来源明确的操作：布衣穿脱、换假发。跨品牌接口、身体和衣物互换不从系列名称推断；具体限制应以本款产品页为准。</x:v>
      </x:c>
      <x:c r="Q134" s="11" t="str">
        <x:v>未取得产品对应证据</x:v>
      </x:c>
      <x:c r="R134" s="11" t="str">
        <x:v>2026-10-05</x:v>
      </x:c>
      <x:c r="S134" s="11" t="str">
        <x:v>gsc-harmonia-12383</x:v>
      </x:c>
      <x:c r="T134" s="11" t="str">
        <x:v>https://www.goodsmile.com/en/product/12383</x:v>
      </x:c>
    </x:row>
    <x:row r="135" ht="111" customHeight="1">
      <x:c r="A135" s="11" t="str">
        <x:v>Harmonia bloom Seasonal 服装套装 Charlotte (Melone)</x:v>
      </x:c>
      <x:c r="B135" s="11" t="str">
        <x:v>Good Smile Company</x:v>
      </x:c>
      <x:c r="C135" s="12" t="str">
        <x:v>不适用</x:v>
      </x:c>
      <x:c r="D135" s="13" t="str">
        <x:v>服装成品</x:v>
      </x:c>
      <x:c r="E135" s="20" t="str">
        <x:v>不适用</x:v>
      </x:c>
      <x:c r="F135" s="21"/>
      <x:c r="G135" s="16" t="str">
        <x:v>不适用</x:v>
      </x:c>
      <x:c r="H135" s="17" t="str">
        <x:v>布衣穿脱</x:v>
      </x:c>
      <x:c r="I135" s="18" t="str">
        <x:v>布料、塑料</x:v>
      </x:c>
      <x:c r="J135" s="19" t="str">
        <x:v>服装配套</x:v>
      </x:c>
      <x:c r="K135" s="11" t="str">
        <x:v>Harmonia bloom Seasonal Outfit Set Charlotte (Melone)</x:v>
      </x:c>
      <x:c r="L135" s="11" t="str">
        <x:v>未单独核对</x:v>
      </x:c>
      <x:c r="M135" s="11" t="str">
        <x:v>未披露</x:v>
      </x:c>
      <x:c r="N135" s="11" t="str">
        <x:v>本款官方产品页版本；再版与配色名称按原始商品名保留，不推断所有批次。</x:v>
      </x:c>
      <x:c r="O135" s="11" t="str">
        <x:v>不适用</x:v>
      </x:c>
      <x:c r="P135" s="11" t="str">
        <x:v>本款规格：比例未披露；材料：布料、塑料；交付：服装成品。
版本与商品范围：原始商品名：Harmonia bloom Seasonal Outfit Set Charlotte (Melone)。作品／产品线：Harmonia bloom。官方页面标示出货月：2024-03；计划月份不作为已出货证明。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35" s="11" t="str">
        <x:v>未取得产品对应证据</x:v>
      </x:c>
      <x:c r="R135" s="11" t="str">
        <x:v>2026-10-05</x:v>
      </x:c>
      <x:c r="S135" s="11" t="str">
        <x:v>gsc-harmonia-12085</x:v>
      </x:c>
      <x:c r="T135" s="11" t="str">
        <x:v>https://www.goodsmile.com/en/product/12085</x:v>
      </x:c>
    </x:row>
    <x:row r="136" ht="111" customHeight="1">
      <x:c r="A136" s="11" t="str">
        <x:v>Harmonia bloom Seasonal 服装套装 Charlotte (Kirsche)</x:v>
      </x:c>
      <x:c r="B136" s="11" t="str">
        <x:v>Good Smile Company</x:v>
      </x:c>
      <x:c r="C136" s="12" t="str">
        <x:v>不适用</x:v>
      </x:c>
      <x:c r="D136" s="13" t="str">
        <x:v>服装成品</x:v>
      </x:c>
      <x:c r="E136" s="20" t="str">
        <x:v>不适用</x:v>
      </x:c>
      <x:c r="F136" s="21"/>
      <x:c r="G136" s="16" t="str">
        <x:v>不适用</x:v>
      </x:c>
      <x:c r="H136" s="17" t="str">
        <x:v>布衣穿脱</x:v>
      </x:c>
      <x:c r="I136" s="18" t="str">
        <x:v>布料、塑料</x:v>
      </x:c>
      <x:c r="J136" s="19" t="str">
        <x:v>服装配套</x:v>
      </x:c>
      <x:c r="K136" s="11" t="str">
        <x:v>Harmonia bloom Seasonal Outfit Set Charlotte (Kirsche)</x:v>
      </x:c>
      <x:c r="L136" s="11" t="str">
        <x:v>未单独核对</x:v>
      </x:c>
      <x:c r="M136" s="11" t="str">
        <x:v>未披露</x:v>
      </x:c>
      <x:c r="N136" s="11" t="str">
        <x:v>本款官方产品页版本；再版与配色名称按原始商品名保留，不推断所有批次。</x:v>
      </x:c>
      <x:c r="O136" s="11" t="str">
        <x:v>不适用</x:v>
      </x:c>
      <x:c r="P136" s="11" t="str">
        <x:v>本款规格：比例未披露；材料：布料、塑料；交付：服装成品。
版本与商品范围：原始商品名：Harmonia bloom Seasonal Outfit Set Charlotte (Kirsche)。作品／产品线：Harmonia bloom。官方页面标示出货月：2024-03；计划月份不作为已出货证明。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36" s="11" t="str">
        <x:v>未取得产品对应证据</x:v>
      </x:c>
      <x:c r="R136" s="11" t="str">
        <x:v>2026-10-05</x:v>
      </x:c>
      <x:c r="S136" s="11" t="str">
        <x:v>gsc-harmonia-12086</x:v>
      </x:c>
      <x:c r="T136" s="11" t="str">
        <x:v>https://www.goodsmile.com/en/product/12086</x:v>
      </x:c>
    </x:row>
    <x:row r="137" ht="111" customHeight="1">
      <x:c r="A137" s="11" t="str">
        <x:v>Harmonia humming Nadeshiko Kagamihara</x:v>
      </x:c>
      <x:c r="B137" s="11" t="str">
        <x:v>Good Smile Company</x:v>
      </x:c>
      <x:c r="C137" s="12" t="str">
        <x:v>关节可动</x:v>
      </x:c>
      <x:c r="D137" s="13" t="str">
        <x:v>成品含服</x:v>
      </x:c>
      <x:c r="E137" s="20" t="str">
        <x:v>无固定比例</x:v>
      </x:c>
      <x:c r="F137" s="21" t="n">
        <x:v>230</x:v>
      </x:c>
      <x:c r="G137" s="16" t="str">
        <x:v>官方本款规格的约全高；是否计入底座未单独说明</x:v>
      </x:c>
      <x:c r="H137" s="17" t="str">
        <x:v>换假发</x:v>
      </x:c>
      <x:c r="I137" s="18" t="str">
        <x:v>塑料</x:v>
      </x:c>
      <x:c r="J137" s="19" t="str">
        <x:v>角色人形</x:v>
      </x:c>
      <x:c r="K137" s="11" t="str">
        <x:v>Harmonia humming Nadeshiko Kagamihara</x:v>
      </x:c>
      <x:c r="L137" s="11" t="str">
        <x:v>未单独核对</x:v>
      </x:c>
      <x:c r="M137" s="11" t="str">
        <x:v>未披露</x:v>
      </x:c>
      <x:c r="N137" s="11" t="str">
        <x:v>本款官方产品页版本；再版与配色名称按原始商品名保留，不推断所有批次。</x:v>
      </x:c>
      <x:c r="O137" s="11" t="str">
        <x:v>高度 23 cm（官方本款规格的约全高；是否计入底座未单独说明）</x:v>
      </x:c>
      <x:c r="P137" s="11" t="str">
        <x:v>本款规格：无固定比例；高度 23 cm（官方本款规格的约全高；是否计入底座未单独说明）；材料：塑料；交付：成品含服。
版本与商品范围：原始商品名：Harmonia humming Nadeshiko Kagamihara。作品／产品线：Laid-Back Camp。官方页面标示出货月：2024-02；计划月份不作为已出货证明。
换件与适配：来源明确的操作：换假发。跨品牌接口、身体和衣物互换不从系列名称推断；具体限制应以本款产品页为准。</x:v>
      </x:c>
      <x:c r="Q137" s="11" t="str">
        <x:v>未取得产品对应证据</x:v>
      </x:c>
      <x:c r="R137" s="11" t="str">
        <x:v>2026-10-05</x:v>
      </x:c>
      <x:c r="S137" s="11" t="str">
        <x:v>gsc-harmonia-11731</x:v>
      </x:c>
      <x:c r="T137" s="11" t="str">
        <x:v>https://www.goodsmile.com/en/product/11731</x:v>
      </x:c>
    </x:row>
    <x:row r="138" ht="111" customHeight="1">
      <x:c r="A138" s="11" t="str">
        <x:v>Harmonia humming Rin Shima</x:v>
      </x:c>
      <x:c r="B138" s="11" t="str">
        <x:v>Good Smile Company</x:v>
      </x:c>
      <x:c r="C138" s="12" t="str">
        <x:v>关节可动</x:v>
      </x:c>
      <x:c r="D138" s="13" t="str">
        <x:v>成品含服</x:v>
      </x:c>
      <x:c r="E138" s="20" t="str">
        <x:v>无固定比例</x:v>
      </x:c>
      <x:c r="F138" s="21" t="n">
        <x:v>230</x:v>
      </x:c>
      <x:c r="G138" s="16" t="str">
        <x:v>官方本款规格的约全高；是否计入底座未单独说明</x:v>
      </x:c>
      <x:c r="H138" s="17" t="str">
        <x:v>换假发</x:v>
      </x:c>
      <x:c r="I138" s="18" t="str">
        <x:v>塑料</x:v>
      </x:c>
      <x:c r="J138" s="19" t="str">
        <x:v>角色人形</x:v>
      </x:c>
      <x:c r="K138" s="11" t="str">
        <x:v>Harmonia humming Rin Shima</x:v>
      </x:c>
      <x:c r="L138" s="11" t="str">
        <x:v>未单独核对</x:v>
      </x:c>
      <x:c r="M138" s="11" t="str">
        <x:v>未披露</x:v>
      </x:c>
      <x:c r="N138" s="11" t="str">
        <x:v>本款官方产品页版本；再版与配色名称按原始商品名保留，不推断所有批次。</x:v>
      </x:c>
      <x:c r="O138" s="11" t="str">
        <x:v>高度 23 cm（官方本款规格的约全高；是否计入底座未单独说明）</x:v>
      </x:c>
      <x:c r="P138" s="11" t="str">
        <x:v>本款规格：无固定比例；高度 23 cm（官方本款规格的约全高；是否计入底座未单独说明）；材料：塑料；交付：成品含服。
版本与商品范围：原始商品名：Harmonia humming Rin Shima。作品／产品线：Laid-Back Camp。官方页面标示出货月：2024-02；计划月份不作为已出货证明。
换件与适配：来源明确的操作：换假发。跨品牌接口、身体和衣物互换不从系列名称推断；具体限制应以本款产品页为准。</x:v>
      </x:c>
      <x:c r="Q138" s="11" t="str">
        <x:v>未取得产品对应证据</x:v>
      </x:c>
      <x:c r="R138" s="11" t="str">
        <x:v>2026-10-05</x:v>
      </x:c>
      <x:c r="S138" s="11" t="str">
        <x:v>gsc-harmonia-11732</x:v>
      </x:c>
      <x:c r="T138" s="11" t="str">
        <x:v>https://www.goodsmile.com/en/product/11732</x:v>
      </x:c>
    </x:row>
    <x:row r="139" ht="111" customHeight="1">
      <x:c r="A139" s="11" t="str">
        <x:v>Harmonia bloom Seasonal Doll Gabriela</x:v>
      </x:c>
      <x:c r="B139" s="11" t="str">
        <x:v>Good Smile Company</x:v>
      </x:c>
      <x:c r="C139" s="12" t="str">
        <x:v>关节可动</x:v>
      </x:c>
      <x:c r="D139" s="13" t="str">
        <x:v>成品含服</x:v>
      </x:c>
      <x:c r="E139" s="20" t="str">
        <x:v>无固定比例</x:v>
      </x:c>
      <x:c r="F139" s="21" t="n">
        <x:v>230</x:v>
      </x:c>
      <x:c r="G139" s="16" t="str">
        <x:v>官方本款规格的约全高；是否计入底座未单独说明</x:v>
      </x:c>
      <x:c r="H139" s="17" t="str">
        <x:v>布衣穿脱、换假发</x:v>
      </x:c>
      <x:c r="I139" s="18" t="str">
        <x:v>塑料</x:v>
      </x:c>
      <x:c r="J139" s="19" t="str">
        <x:v>角色人形</x:v>
      </x:c>
      <x:c r="K139" s="11" t="str">
        <x:v>Harmonia bloom Seasonal Doll Gabriela</x:v>
      </x:c>
      <x:c r="L139" s="11" t="str">
        <x:v>未单独核对</x:v>
      </x:c>
      <x:c r="M139" s="11" t="str">
        <x:v>未披露</x:v>
      </x:c>
      <x:c r="N139" s="11" t="str">
        <x:v>本款官方产品页版本；再版与配色名称按原始商品名保留，不推断所有批次。</x:v>
      </x:c>
      <x:c r="O139" s="11" t="str">
        <x:v>高度 23 cm（官方本款规格的约全高；是否计入底座未单独说明）</x:v>
      </x:c>
      <x:c r="P139" s="11" t="str">
        <x:v>本款规格：无固定比例；高度 23 cm（官方本款规格的约全高；是否计入底座未单独说明）；材料：塑料；交付：成品含服。
版本与商品范围：原始商品名：Harmonia bloom Seasonal Doll Gabriela。作品／产品线：Harmonia bloom。官方页面标示出货月：2023-11；计划月份不作为已出货证明。
换件与适配：来源明确的操作：布衣穿脱、换假发。跨品牌接口、身体和衣物互换不从系列名称推断；具体限制应以本款产品页为准。</x:v>
      </x:c>
      <x:c r="Q139" s="11" t="str">
        <x:v>未取得产品对应证据</x:v>
      </x:c>
      <x:c r="R139" s="11" t="str">
        <x:v>2026-10-05</x:v>
      </x:c>
      <x:c r="S139" s="11" t="str">
        <x:v>gsc-harmonia-11646</x:v>
      </x:c>
      <x:c r="T139" s="11" t="str">
        <x:v>https://www.goodsmile.com/en/product/11646</x:v>
      </x:c>
    </x:row>
    <x:row r="140" ht="111" customHeight="1">
      <x:c r="A140" s="11" t="str">
        <x:v>Harmonia bloom Seasonal 服装套装 Gabriela (Black)</x:v>
      </x:c>
      <x:c r="B140" s="11" t="str">
        <x:v>Good Smile Company</x:v>
      </x:c>
      <x:c r="C140" s="12" t="str">
        <x:v>不适用</x:v>
      </x:c>
      <x:c r="D140" s="13" t="str">
        <x:v>服装成品</x:v>
      </x:c>
      <x:c r="E140" s="20" t="str">
        <x:v>不适用</x:v>
      </x:c>
      <x:c r="F140" s="21"/>
      <x:c r="G140" s="16" t="str">
        <x:v>不适用</x:v>
      </x:c>
      <x:c r="H140" s="17" t="str">
        <x:v>布衣穿脱</x:v>
      </x:c>
      <x:c r="I140" s="18" t="str">
        <x:v>布料、塑料</x:v>
      </x:c>
      <x:c r="J140" s="19" t="str">
        <x:v>服装配套</x:v>
      </x:c>
      <x:c r="K140" s="11" t="str">
        <x:v>Harmonia bloom Seasonal Outfit Set Gabriela (Black)</x:v>
      </x:c>
      <x:c r="L140" s="11" t="str">
        <x:v>未单独核对</x:v>
      </x:c>
      <x:c r="M140" s="11" t="str">
        <x:v>未披露</x:v>
      </x:c>
      <x:c r="N140" s="11" t="str">
        <x:v>本款官方产品页版本；再版与配色名称按原始商品名保留，不推断所有批次。</x:v>
      </x:c>
      <x:c r="O140" s="11" t="str">
        <x:v>不适用</x:v>
      </x:c>
      <x:c r="P140" s="11" t="str">
        <x:v>本款规格：比例未披露；材料：布料、塑料；交付：服装成品。
版本与商品范围：原始商品名：Harmonia bloom Seasonal Outfit Set Gabriela (Black)。作品／产品线：Harmonia bloom。官方页面标示出货月：2023-11；计划月份不作为已出货证明。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40" s="11" t="str">
        <x:v>未取得产品对应证据</x:v>
      </x:c>
      <x:c r="R140" s="11" t="str">
        <x:v>2026-10-05</x:v>
      </x:c>
      <x:c r="S140" s="11" t="str">
        <x:v>gsc-harmonia-11648</x:v>
      </x:c>
      <x:c r="T140" s="11" t="str">
        <x:v>https://www.goodsmile.com/en/product/11648</x:v>
      </x:c>
    </x:row>
    <x:row r="141" ht="111" customHeight="1">
      <x:c r="A141" s="11" t="str">
        <x:v>Harmonia bloom Seasonal 服装套装 Gabriela (White)</x:v>
      </x:c>
      <x:c r="B141" s="11" t="str">
        <x:v>Good Smile Company</x:v>
      </x:c>
      <x:c r="C141" s="12" t="str">
        <x:v>不适用</x:v>
      </x:c>
      <x:c r="D141" s="13" t="str">
        <x:v>服装成品</x:v>
      </x:c>
      <x:c r="E141" s="20" t="str">
        <x:v>不适用</x:v>
      </x:c>
      <x:c r="F141" s="21"/>
      <x:c r="G141" s="16" t="str">
        <x:v>不适用</x:v>
      </x:c>
      <x:c r="H141" s="17" t="str">
        <x:v>布衣穿脱</x:v>
      </x:c>
      <x:c r="I141" s="18" t="str">
        <x:v>布料、塑料</x:v>
      </x:c>
      <x:c r="J141" s="19" t="str">
        <x:v>服装配套</x:v>
      </x:c>
      <x:c r="K141" s="11" t="str">
        <x:v>Harmonia bloom Seasonal Outfit Set Gabriela (White)</x:v>
      </x:c>
      <x:c r="L141" s="11" t="str">
        <x:v>未单独核对</x:v>
      </x:c>
      <x:c r="M141" s="11" t="str">
        <x:v>未披露</x:v>
      </x:c>
      <x:c r="N141" s="11" t="str">
        <x:v>本款官方产品页版本；再版与配色名称按原始商品名保留，不推断所有批次。</x:v>
      </x:c>
      <x:c r="O141" s="11" t="str">
        <x:v>不适用</x:v>
      </x:c>
      <x:c r="P141" s="11" t="str">
        <x:v>本款规格：比例未披露；材料：布料、塑料；交付：服装成品。
版本与商品范围：原始商品名：Harmonia bloom Seasonal Outfit Set Gabriela (White)。作品／产品线：Harmonia bloom。官方页面标示出货月：2023-11；计划月份不作为已出货证明。
换件与适配：来源明确的操作：布衣穿脱。跨品牌接口、身体和衣物互换不从系列名称推断；具体限制应以本款产品页为准。商品为独立服装配套，本体及展示素体不计入本条交付。</x:v>
      </x:c>
      <x:c r="Q141" s="11" t="str">
        <x:v>未取得产品对应证据</x:v>
      </x:c>
      <x:c r="R141" s="11" t="str">
        <x:v>2026-10-05</x:v>
      </x:c>
      <x:c r="S141" s="11" t="str">
        <x:v>gsc-harmonia-11649</x:v>
      </x:c>
      <x:c r="T141" s="11" t="str">
        <x:v>https://www.goodsmile.com/en/product/11649</x:v>
      </x:c>
    </x:row>
    <x:row r="142" ht="111" customHeight="1">
      <x:c r="A142" s="11" t="str">
        <x:v>Harmonia bloom Masie Red Riding Hood</x:v>
      </x:c>
      <x:c r="B142" s="11" t="str">
        <x:v>Good Smile Company</x:v>
      </x:c>
      <x:c r="C142" s="12" t="str">
        <x:v>关节可动</x:v>
      </x:c>
      <x:c r="D142" s="13" t="str">
        <x:v>成品含服</x:v>
      </x:c>
      <x:c r="E142" s="20" t="str">
        <x:v>无固定比例</x:v>
      </x:c>
      <x:c r="F142" s="21" t="n">
        <x:v>230</x:v>
      </x:c>
      <x:c r="G142" s="16" t="str">
        <x:v>官方本款规格的约全高；是否计入底座未单独说明</x:v>
      </x:c>
      <x:c r="H142" s="17" t="str">
        <x:v>换假发</x:v>
      </x:c>
      <x:c r="I142" s="18" t="str">
        <x:v>塑料</x:v>
      </x:c>
      <x:c r="J142" s="19" t="str">
        <x:v>角色人形</x:v>
      </x:c>
      <x:c r="K142" s="11" t="str">
        <x:v>Harmonia bloom Masie Red Riding Hood</x:v>
      </x:c>
      <x:c r="L142" s="11" t="str">
        <x:v>未单独核对</x:v>
      </x:c>
      <x:c r="M142" s="11" t="str">
        <x:v>未披露</x:v>
      </x:c>
      <x:c r="N142" s="11" t="str">
        <x:v>本款官方产品页版本；再版与配色名称按原始商品名保留，不推断所有批次。</x:v>
      </x:c>
      <x:c r="O142" s="11" t="str">
        <x:v>高度 23 cm（官方本款规格的约全高；是否计入底座未单独说明）</x:v>
      </x:c>
      <x:c r="P142" s="11" t="str">
        <x:v>本款规格：无固定比例；高度 23 cm（官方本款规格的约全高；是否计入底座未单独说明）；材料：塑料；交付：成品含服。
版本与商品范围：原始商品名：Harmonia bloom Masie Red Riding Hood。作品／产品线：Harmonia bloom。官方页面标示出货月：2023-10；计划月份不作为已出货证明。
换件与适配：来源明确的操作：换假发。跨品牌接口、身体和衣物互换不从系列名称推断；具体限制应以本款产品页为准。</x:v>
      </x:c>
      <x:c r="Q142" s="11" t="str">
        <x:v>未取得产品对应证据</x:v>
      </x:c>
      <x:c r="R142" s="11" t="str">
        <x:v>2026-10-05</x:v>
      </x:c>
      <x:c r="S142" s="11" t="str">
        <x:v>gsc-harmonia-11338</x:v>
      </x:c>
      <x:c r="T142" s="11" t="str">
        <x:v>https://www.goodsmile.com/en/product/11338</x:v>
      </x:c>
    </x:row>
    <x:row r="143" ht="111" customHeight="1">
      <x:c r="A143" s="11" t="str">
        <x:v>Harmonia bloom Christmas Limited Box (Rose/Pansy/Somei Yoshino/Madonna Lily)</x:v>
      </x:c>
      <x:c r="B143" s="11" t="str">
        <x:v>Good Smile Company</x:v>
      </x:c>
      <x:c r="C143" s="12" t="str">
        <x:v>关节可动</x:v>
      </x:c>
      <x:c r="D143" s="13" t="str">
        <x:v>成品含服</x:v>
      </x:c>
      <x:c r="E143" s="20" t="str">
        <x:v>无固定比例</x:v>
      </x:c>
      <x:c r="F143" s="21"/>
      <x:c r="G143" s="16" t="str">
        <x:v>未披露</x:v>
      </x:c>
      <x:c r="H143" s="17" t="str">
        <x:v>布衣穿脱、换假发</x:v>
      </x:c>
      <x:c r="I143" s="18" t="str">
        <x:v>塑料</x:v>
      </x:c>
      <x:c r="J143" s="19" t="str">
        <x:v>角色人形</x:v>
      </x:c>
      <x:c r="K143" s="11" t="str">
        <x:v>Harmonia bloom Christmas Limited Box (Rose/Pansy/Somei Yoshino/Madonna Lily)</x:v>
      </x:c>
      <x:c r="L143" s="11" t="str">
        <x:v>未单独核对</x:v>
      </x:c>
      <x:c r="M143" s="11" t="str">
        <x:v>未披露</x:v>
      </x:c>
      <x:c r="N143" s="11" t="str">
        <x:v>本款官方产品页版本；再版与配色名称按原始商品名保留，不推断所有批次。</x:v>
      </x:c>
      <x:c r="O143" s="11" t="str">
        <x:v>未披露</x:v>
      </x:c>
      <x:c r="P143" s="11" t="str">
        <x:v>本款规格：无固定比例；材料：塑料；交付：成品含服。
版本与商品范围：原始商品名：Harmonia bloom Christmas Limited Box (Rose/Pansy/Somei Yoshino/Madonna Lily)。作品／产品线：Harmonia bloom。此记录未单独核对历次发售、再版与当前库存。
换件与适配：来源明确的操作：布衣穿脱、换假发。跨品牌接口、身体和衣物互换不从系列名称推断；具体限制应以本款产品页为准。</x:v>
      </x:c>
      <x:c r="Q143" s="11" t="str">
        <x:v>未取得产品对应证据</x:v>
      </x:c>
      <x:c r="R143" s="11" t="str">
        <x:v>2026-10-05</x:v>
      </x:c>
      <x:c r="S143" s="11" t="str">
        <x:v>gsc-harmonia-11307</x:v>
      </x:c>
      <x:c r="T143" s="11" t="str">
        <x:v>https://www.goodsmile.com/en/product/11307</x:v>
      </x:c>
    </x:row>
    <x:row r="144" ht="111" customHeight="1">
      <x:c r="A144" s="11" t="str">
        <x:v>Harmonia humming humming doll (Natural) #0</x:v>
      </x:c>
      <x:c r="B144" s="11" t="str">
        <x:v>Good Smile Company</x:v>
      </x:c>
      <x:c r="C144" s="12" t="str">
        <x:v>关节可动</x:v>
      </x:c>
      <x:c r="D144" s="13" t="str">
        <x:v>素体成品</x:v>
      </x:c>
      <x:c r="E144" s="20" t="str">
        <x:v>无固定比例</x:v>
      </x:c>
      <x:c r="F144" s="21" t="n">
        <x:v>230</x:v>
      </x:c>
      <x:c r="G144" s="16" t="str">
        <x:v>官方本款规格的约全高；是否计入底座未单独说明</x:v>
      </x:c>
      <x:c r="H144" s="17" t="str">
        <x:v>未披露</x:v>
      </x:c>
      <x:c r="I144" s="18" t="str">
        <x:v>塑料</x:v>
      </x:c>
      <x:c r="J144" s="19" t="str">
        <x:v>素体</x:v>
      </x:c>
      <x:c r="K144" s="11" t="str">
        <x:v>Harmonia humming humming doll (Natural) #0</x:v>
      </x:c>
      <x:c r="L144" s="11" t="str">
        <x:v>未单独核对</x:v>
      </x:c>
      <x:c r="M144" s="11" t="str">
        <x:v>未披露</x:v>
      </x:c>
      <x:c r="N144" s="11" t="str">
        <x:v>本款官方产品页版本；再版与配色名称按原始商品名保留，不推断所有批次。</x:v>
      </x:c>
      <x:c r="O144" s="11" t="str">
        <x:v>高度 23 cm（官方本款规格的约全高；是否计入底座未单独说明）</x:v>
      </x:c>
      <x:c r="P144" s="11" t="str">
        <x:v>本款规格：无固定比例；高度 23 cm（官方本款规格的约全高；是否计入底座未单独说明）；材料：塑料；交付：素体成品。
版本与商品范围：原始商品名：Harmonia humming humming doll (Natural) #0。作品／产品线：Harmonia bloom。官方页面标示出货月：2022-08；计划月份不作为已出货证明。
换件与适配：页面未明确布衣穿脱或跨产品换件范围。跨品牌接口、身体和衣物互换不从系列名称推断；具体限制应以本款产品页为准。</x:v>
      </x:c>
      <x:c r="Q144" s="11" t="str">
        <x:v>Smile Fest 2022 Tokyo，2022-08-06 至 08-07：本款产品页明确现场销售。</x:v>
      </x:c>
      <x:c r="R144" s="11" t="str">
        <x:v>2026-10-05</x:v>
      </x:c>
      <x:c r="S144" s="11" t="str">
        <x:v>gsc-harmonia-10492</x:v>
      </x:c>
      <x:c r="T144" s="11" t="str">
        <x:v>https://www.goodsmile.com/en/product/10492</x:v>
      </x:c>
    </x:row>
    <x:row r="145" ht="111" customHeight="1">
      <x:c r="A145" s="11" t="str">
        <x:v>Harmonia humming humming doll (Sharp) #0</x:v>
      </x:c>
      <x:c r="B145" s="11" t="str">
        <x:v>Good Smile Company</x:v>
      </x:c>
      <x:c r="C145" s="12" t="str">
        <x:v>关节可动</x:v>
      </x:c>
      <x:c r="D145" s="13" t="str">
        <x:v>素体成品</x:v>
      </x:c>
      <x:c r="E145" s="20" t="str">
        <x:v>无固定比例</x:v>
      </x:c>
      <x:c r="F145" s="21" t="n">
        <x:v>230</x:v>
      </x:c>
      <x:c r="G145" s="16" t="str">
        <x:v>官方本款规格的约全高；是否计入底座未单独说明</x:v>
      </x:c>
      <x:c r="H145" s="17" t="str">
        <x:v>未披露</x:v>
      </x:c>
      <x:c r="I145" s="18" t="str">
        <x:v>塑料</x:v>
      </x:c>
      <x:c r="J145" s="19" t="str">
        <x:v>素体</x:v>
      </x:c>
      <x:c r="K145" s="11" t="str">
        <x:v>Harmonia humming humming doll (Sharp) #0</x:v>
      </x:c>
      <x:c r="L145" s="11" t="str">
        <x:v>未单独核对</x:v>
      </x:c>
      <x:c r="M145" s="11" t="str">
        <x:v>未披露</x:v>
      </x:c>
      <x:c r="N145" s="11" t="str">
        <x:v>本款官方产品页版本；再版与配色名称按原始商品名保留，不推断所有批次。</x:v>
      </x:c>
      <x:c r="O145" s="11" t="str">
        <x:v>高度 23 cm（官方本款规格的约全高；是否计入底座未单独说明）</x:v>
      </x:c>
      <x:c r="P145" s="11" t="str">
        <x:v>本款规格：无固定比例；高度 23 cm（官方本款规格的约全高；是否计入底座未单独说明）；材料：塑料；交付：素体成品。
版本与商品范围：原始商品名：Harmonia humming humming doll (Sharp) #0。作品／产品线：Harmonia bloom。官方页面标示出货月：2022-08；计划月份不作为已出货证明。
换件与适配：页面未明确布衣穿脱或跨产品换件范围。跨品牌接口、身体和衣物互换不从系列名称推断；具体限制应以本款产品页为准。</x:v>
      </x:c>
      <x:c r="Q145" s="11" t="str">
        <x:v>Smile Fest 2022 Tokyo，2022-08-06 至 08-07：本款产品页明确现场销售。</x:v>
      </x:c>
      <x:c r="R145" s="11" t="str">
        <x:v>2026-10-05</x:v>
      </x:c>
      <x:c r="S145" s="11" t="str">
        <x:v>gsc-harmonia-10493</x:v>
      </x:c>
      <x:c r="T145" s="11" t="str">
        <x:v>https://www.goodsmile.com/en/product/10493</x:v>
      </x:c>
    </x:row>
    <x:row r="146" ht="111" customHeight="1">
      <x:c r="A146" s="11" t="str">
        <x:v>figma Hunter: The Old Hunters Edition</x:v>
      </x:c>
      <x:c r="B146" s="11" t="str">
        <x:v>Good Smile Company</x:v>
      </x:c>
      <x:c r="C146" s="12" t="str">
        <x:v>关节可动</x:v>
      </x:c>
      <x:c r="D146" s="13" t="str">
        <x:v>涂装成品、计划商品</x:v>
      </x:c>
      <x:c r="E146" s="20" t="str">
        <x:v>无固定比例</x:v>
      </x:c>
      <x:c r="F146" s="21" t="n">
        <x:v>150</x:v>
      </x:c>
      <x:c r="G146" s="16" t="str">
        <x:v>官方本款规格的约全高；是否计入底座未单独说明</x:v>
      </x:c>
      <x:c r="H146" s="17" t="str">
        <x:v>换手、换假发</x:v>
      </x:c>
      <x:c r="I146" s="18" t="str">
        <x:v>PVC、ABS</x:v>
      </x:c>
      <x:c r="J146" s="19" t="str">
        <x:v>角色人形</x:v>
      </x:c>
      <x:c r="K146" s="11" t="str">
        <x:v>figma Hunter: The Old Hunters Edition</x:v>
      </x:c>
      <x:c r="L146" s="11" t="str">
        <x:v>未单独核对</x:v>
      </x:c>
      <x:c r="M146" s="11" t="str">
        <x:v>未披露</x:v>
      </x:c>
      <x:c r="N146" s="11" t="str">
        <x:v>本款官方产品页版本；再版与配色名称按原始商品名保留，不推断所有批次。</x:v>
      </x:c>
      <x:c r="O146" s="11" t="str">
        <x:v>高度 15 cm（官方本款规格的约全高；是否计入底座未单独说明）</x:v>
      </x:c>
      <x:c r="P146" s="11" t="str">
        <x:v>本款规格：无固定比例；高度 15 cm（官方本款规格的约全高；是否计入底座未单独说明）；材料：PVC、ABS；交付：涂装成品、计划商品。
版本与商品范围：原始商品名：figma Hunter: The Old Hunters Edition。作品／产品线：Bloodborne。官方页面标示出货月：2027-05；计划月份不作为已出货证明。
换件与适配：来源明确的操作：换手、换假发。跨品牌接口、身体和衣物互换不从系列名称推断；具体限制应以本款产品页为准。</x:v>
      </x:c>
      <x:c r="Q146" s="11" t="str">
        <x:v>未取得产品对应证据</x:v>
      </x:c>
      <x:c r="R146" s="11" t="str">
        <x:v>2026-10-05</x:v>
      </x:c>
      <x:c r="S146" s="11" t="str">
        <x:v>gsc-figma-8648</x:v>
      </x:c>
      <x:c r="T146" s="11" t="str">
        <x:v>https://www.goodsmile.com/en/product/8648</x:v>
      </x:c>
    </x:row>
    <x:row r="147" ht="111" customHeight="1">
      <x:c r="A147" s="11" t="str">
        <x:v>figma 2B (YoRHa No.2 Type B)</x:v>
      </x:c>
      <x:c r="B147" s="11" t="str">
        <x:v>Max Factory</x:v>
      </x:c>
      <x:c r="C147" s="12" t="str">
        <x:v>关节可动</x:v>
      </x:c>
      <x:c r="D147" s="13" t="str">
        <x:v>涂装成品、计划商品</x:v>
      </x:c>
      <x:c r="E147" s="20" t="str">
        <x:v>无固定比例</x:v>
      </x:c>
      <x:c r="F147" s="21" t="n">
        <x:v>160</x:v>
      </x:c>
      <x:c r="G147" s="16" t="str">
        <x:v>官方本款规格的约全高；是否计入底座未单独说明</x:v>
      </x:c>
      <x:c r="H147" s="17" t="str">
        <x:v>换脸</x:v>
      </x:c>
      <x:c r="I147" s="18" t="str">
        <x:v>塑料</x:v>
      </x:c>
      <x:c r="J147" s="19" t="str">
        <x:v>角色人形</x:v>
      </x:c>
      <x:c r="K147" s="11" t="str">
        <x:v>figma 2B (YoRHa No.2 Type B)</x:v>
      </x:c>
      <x:c r="L147" s="11" t="str">
        <x:v>未单独核对</x:v>
      </x:c>
      <x:c r="M147" s="11" t="str">
        <x:v>未披露</x:v>
      </x:c>
      <x:c r="N147" s="11" t="str">
        <x:v>本款官方产品页版本；再版与配色名称按原始商品名保留，不推断所有批次。</x:v>
      </x:c>
      <x:c r="O147" s="11" t="str">
        <x:v>高度 16 cm（官方本款规格的约全高；是否计入底座未单独说明）</x:v>
      </x:c>
      <x:c r="P147" s="11" t="str">
        <x:v>本款规格：无固定比例；高度 16 cm（官方本款规格的约全高；是否计入底座未单独说明）；材料：塑料；交付：涂装成品、计划商品。
版本与商品范围：原始商品名：figma 2B (YoRHa No.2 Type B)。作品／产品线：NieR:Automata Ver1.1a。官方页面标示出货月：2027-07；计划月份不作为已出货证明。
换件与适配：来源明确的操作：换脸。跨品牌接口、身体和衣物互换不从系列名称推断；具体限制应以本款产品页为准。</x:v>
      </x:c>
      <x:c r="Q147" s="11" t="str">
        <x:v>未取得产品对应证据</x:v>
      </x:c>
      <x:c r="R147" s="11" t="str">
        <x:v>2026-10-05</x:v>
      </x:c>
      <x:c r="S147" s="11" t="str">
        <x:v>gsc-figma-45954</x:v>
      </x:c>
      <x:c r="T147" s="11" t="str">
        <x:v>https://www.goodsmile.com/en/product/45954</x:v>
      </x:c>
    </x:row>
    <x:row r="148" ht="111" customHeight="1">
      <x:c r="A148" s="11" t="str">
        <x:v>figma Soda: Twinkling Bunny</x:v>
      </x:c>
      <x:c r="B148" s="11" t="str">
        <x:v>Max Factory</x:v>
      </x:c>
      <x:c r="C148" s="12" t="str">
        <x:v>关节可动</x:v>
      </x:c>
      <x:c r="D148" s="13" t="str">
        <x:v>涂装成品、计划商品</x:v>
      </x:c>
      <x:c r="E148" s="20" t="str">
        <x:v>无固定比例</x:v>
      </x:c>
      <x:c r="F148" s="21" t="n">
        <x:v>155</x:v>
      </x:c>
      <x:c r="G148" s="16" t="str">
        <x:v>官方本款规格的约全高；是否计入底座未单独说明</x:v>
      </x:c>
      <x:c r="H148" s="17" t="str">
        <x:v>换脸</x:v>
      </x:c>
      <x:c r="I148" s="18" t="str">
        <x:v>塑料</x:v>
      </x:c>
      <x:c r="J148" s="19" t="str">
        <x:v>角色人形</x:v>
      </x:c>
      <x:c r="K148" s="11" t="str">
        <x:v>figma Soda: Twinkling Bunny</x:v>
      </x:c>
      <x:c r="L148" s="11" t="str">
        <x:v>未单独核对</x:v>
      </x:c>
      <x:c r="M148" s="11" t="str">
        <x:v>未披露</x:v>
      </x:c>
      <x:c r="N148" s="11" t="str">
        <x:v>本款官方产品页版本；再版与配色名称按原始商品名保留，不推断所有批次。</x:v>
      </x:c>
      <x:c r="O148" s="11" t="str">
        <x:v>高度 15.5 cm（官方本款规格的约全高；是否计入底座未单独说明）</x:v>
      </x:c>
      <x:c r="P148" s="11" t="str">
        <x:v>本款规格：无固定比例；高度 15.5 cm（官方本款规格的约全高；是否计入底座未单独说明）；材料：塑料；交付：涂装成品、计划商品。
版本与商品范围：原始商品名：figma Soda: Twinkling Bunny。作品／产品线：GODDESS OF VICTORY: NIKKE。官方页面标示出货月：2027-07；计划月份不作为已出货证明。
换件与适配：来源明确的操作：换脸。跨品牌接口、身体和衣物互换不从系列名称推断；具体限制应以本款产品页为准。</x:v>
      </x:c>
      <x:c r="Q148" s="11" t="str">
        <x:v>未取得产品对应证据</x:v>
      </x:c>
      <x:c r="R148" s="11" t="str">
        <x:v>2026-10-05</x:v>
      </x:c>
      <x:c r="S148" s="11" t="str">
        <x:v>gsc-figma-1145974</x:v>
      </x:c>
      <x:c r="T148" s="11" t="str">
        <x:v>https://www.goodsmile.com/en/product/1145974</x:v>
      </x:c>
    </x:row>
    <x:row r="149" ht="110" customHeight="1">
      <x:c r="A149" s="11" t="str">
        <x:v>figma Venus de Milo</x:v>
      </x:c>
      <x:c r="B149" s="11" t="str">
        <x:v>FREEing</x:v>
      </x:c>
      <x:c r="C149" s="12" t="str">
        <x:v>关节可动</x:v>
      </x:c>
      <x:c r="D149" s="13" t="str">
        <x:v>涂装成品</x:v>
      </x:c>
      <x:c r="E149" s="20" t="str">
        <x:v>无固定比例</x:v>
      </x:c>
      <x:c r="F149" s="21" t="n">
        <x:v>155</x:v>
      </x:c>
      <x:c r="G149" s="16" t="str">
        <x:v>官方本款规格的约全高；是否计入底座未单独说明</x:v>
      </x:c>
      <x:c r="H149" s="17" t="str">
        <x:v>换手</x:v>
      </x:c>
      <x:c r="I149" s="18" t="str">
        <x:v>塑料</x:v>
      </x:c>
      <x:c r="J149" s="19" t="str">
        <x:v>角色人形</x:v>
      </x:c>
      <x:c r="K149" s="11" t="str">
        <x:v>figma Venus de Milo</x:v>
      </x:c>
      <x:c r="L149" s="11" t="str">
        <x:v>未单独核对</x:v>
      </x:c>
      <x:c r="M149" s="11" t="str">
        <x:v>未披露</x:v>
      </x:c>
      <x:c r="N149" s="11" t="str">
        <x:v>本款官方产品页版本；再版与配色名称按原始商品名保留，不推断所有批次。</x:v>
      </x:c>
      <x:c r="O149" s="11" t="str">
        <x:v>高度 15.5 cm（官方本款规格的约全高；是否计入底座未单独说明）</x:v>
      </x:c>
      <x:c r="P149" s="11" t="str">
        <x:v>本款规格：无固定比例；高度 15.5 cm（官方本款规格的约全高；是否计入底座未单独说明）；材料：塑料；交付：涂装成品。
版本与商品范围：原始商品名：figma Venus de Milo。作品／产品线：The Table Museum。此记录未单独核对历次发售、再版与当前库存。
换件与适配：来源明确的操作：换手。跨品牌接口、身体和衣物互换不从系列名称推断；具体限制应以本款产品页为准。</x:v>
      </x:c>
      <x:c r="Q149" s="11" t="str">
        <x:v>未取得产品对应证据</x:v>
      </x:c>
      <x:c r="R149" s="11" t="str">
        <x:v>2026-10-05</x:v>
      </x:c>
      <x:c r="S149" s="11" t="str">
        <x:v>gsc-figma-2857</x:v>
      </x:c>
      <x:c r="T149" s="11" t="str">
        <x:v>https://www.goodsmile.com/en/product/2857</x:v>
      </x:c>
    </x:row>
    <x:row r="150" ht="111" customHeight="1">
      <x:c r="A150" s="11" t="str">
        <x:v>figma Leopard</x:v>
      </x:c>
      <x:c r="B150" s="11" t="str">
        <x:v>Good Smile Company</x:v>
      </x:c>
      <x:c r="C150" s="12" t="str">
        <x:v>关节可动</x:v>
      </x:c>
      <x:c r="D150" s="13" t="str">
        <x:v>涂装成品、计划商品</x:v>
      </x:c>
      <x:c r="E150" s="20" t="str">
        <x:v>无固定比例</x:v>
      </x:c>
      <x:c r="F150" s="21" t="n">
        <x:v>135</x:v>
      </x:c>
      <x:c r="G150" s="16" t="str">
        <x:v>官方本款规格的约全高；是否计入底座未单独说明</x:v>
      </x:c>
      <x:c r="H150" s="17" t="str">
        <x:v>换脸</x:v>
      </x:c>
      <x:c r="I150" s="18" t="str">
        <x:v>塑料</x:v>
      </x:c>
      <x:c r="J150" s="19" t="str">
        <x:v>角色人形</x:v>
      </x:c>
      <x:c r="K150" s="11" t="str">
        <x:v>figma Leopard</x:v>
      </x:c>
      <x:c r="L150" s="11" t="str">
        <x:v>未单独核对</x:v>
      </x:c>
      <x:c r="M150" s="11" t="str">
        <x:v>未披露</x:v>
      </x:c>
      <x:c r="N150" s="11" t="str">
        <x:v>本款官方产品页版本；再版与配色名称按原始商品名保留，不推断所有批次。</x:v>
      </x:c>
      <x:c r="O150" s="11" t="str">
        <x:v>高度 13.5 cm（官方本款规格的约全高；是否计入底座未单独说明）</x:v>
      </x:c>
      <x:c r="P150" s="11" t="str">
        <x:v>本款规格：无固定比例；高度 13.5 cm（官方本款规格的约全高；是否计入底座未单独说明）；材料：塑料；交付：涂装成品、计划商品。
版本与商品范围：原始商品名：figma Leopard。作品／产品线：Gushing over Magical Girls。官方页面标示出货月：2027-12；计划月份不作为已出货证明。
换件与适配：来源明确的操作：换脸。跨品牌接口、身体和衣物互换不从系列名称推断；具体限制应以本款产品页为准。</x:v>
      </x:c>
      <x:c r="Q150" s="11" t="str">
        <x:v>未取得产品对应证据</x:v>
      </x:c>
      <x:c r="R150" s="11" t="str">
        <x:v>2026-10-05</x:v>
      </x:c>
      <x:c r="S150" s="11" t="str">
        <x:v>gsc-figma-1137608</x:v>
      </x:c>
      <x:c r="T150" s="11" t="str">
        <x:v>https://www.goodsmile.com/en/product/1137608</x:v>
      </x:c>
    </x:row>
    <x:row r="151" ht="110" customHeight="1">
      <x:c r="A151" s="11" t="str">
        <x:v>figma Kana</x:v>
      </x:c>
      <x:c r="B151" s="11" t="str">
        <x:v>Max Factory</x:v>
      </x:c>
      <x:c r="C151" s="12" t="str">
        <x:v>关节可动</x:v>
      </x:c>
      <x:c r="D151" s="13" t="str">
        <x:v>涂装成品、计划商品</x:v>
      </x:c>
      <x:c r="E151" s="20" t="str">
        <x:v>无固定比例</x:v>
      </x:c>
      <x:c r="F151" s="21" t="n">
        <x:v>140</x:v>
      </x:c>
      <x:c r="G151" s="16" t="str">
        <x:v>官方本款规格的约全高；是否计入底座未单独说明</x:v>
      </x:c>
      <x:c r="H151" s="17" t="str">
        <x:v>换脸</x:v>
      </x:c>
      <x:c r="I151" s="18" t="str">
        <x:v>塑料</x:v>
      </x:c>
      <x:c r="J151" s="19" t="str">
        <x:v>角色人形</x:v>
      </x:c>
      <x:c r="K151" s="11" t="str">
        <x:v>figma Kana</x:v>
      </x:c>
      <x:c r="L151" s="11" t="str">
        <x:v>未单独核对</x:v>
      </x:c>
      <x:c r="M151" s="11" t="str">
        <x:v>未披露</x:v>
      </x:c>
      <x:c r="N151" s="11" t="str">
        <x:v>本款官方产品页版本；再版与配色名称按原始商品名保留，不推断所有批次。</x:v>
      </x:c>
      <x:c r="O151" s="11" t="str">
        <x:v>高度 14 cm（官方本款规格的约全高；是否计入底座未单独说明）</x:v>
      </x:c>
      <x:c r="P151" s="11" t="str">
        <x:v>本款规格：无固定比例；高度 14 cm（官方本款规格的约全高；是否计入底座未单独说明）；材料：塑料；交付：涂装成品、计划商品。
版本与商品范围：原始商品名：figma Kana。作品／产品线：BUNNY GARDEN 2。官方页面标示出货月：2027-08；计划月份不作为已出货证明。
换件与适配：来源明确的操作：换脸。跨品牌接口、身体和衣物互换不从系列名称推断；具体限制应以本款产品页为准。</x:v>
      </x:c>
      <x:c r="Q151" s="11" t="str">
        <x:v>未取得产品对应证据</x:v>
      </x:c>
      <x:c r="R151" s="11" t="str">
        <x:v>2026-10-05</x:v>
      </x:c>
      <x:c r="S151" s="11" t="str">
        <x:v>gsc-figma-1146142</x:v>
      </x:c>
      <x:c r="T151" s="11" t="str">
        <x:v>https://www.goodsmile.com/en/product/1146142</x:v>
      </x:c>
    </x:row>
    <x:row r="152" ht="111" customHeight="1">
      <x:c r="A152" s="11" t="str">
        <x:v>figma Panty &amp; Stocking: Angel ver. Set</x:v>
      </x:c>
      <x:c r="B152" s="11" t="str">
        <x:v>Good Smile Company</x:v>
      </x:c>
      <x:c r="C152" s="12" t="str">
        <x:v>关节可动</x:v>
      </x:c>
      <x:c r="D152" s="13" t="str">
        <x:v>涂装成品、计划商品</x:v>
      </x:c>
      <x:c r="E152" s="20" t="str">
        <x:v>无固定比例</x:v>
      </x:c>
      <x:c r="F152" s="21" t="n">
        <x:v>120</x:v>
      </x:c>
      <x:c r="G152" s="16" t="str">
        <x:v>官方本款规格的约全高；是否计入底座未单独说明</x:v>
      </x:c>
      <x:c r="H152" s="17" t="str">
        <x:v>换脸</x:v>
      </x:c>
      <x:c r="I152" s="18" t="str">
        <x:v>塑料</x:v>
      </x:c>
      <x:c r="J152" s="19" t="str">
        <x:v>角色人形</x:v>
      </x:c>
      <x:c r="K152" s="11" t="str">
        <x:v>figma Panty &amp; Stocking: Angel ver. Set</x:v>
      </x:c>
      <x:c r="L152" s="11" t="str">
        <x:v>未单独核对</x:v>
      </x:c>
      <x:c r="M152" s="11" t="str">
        <x:v>未披露</x:v>
      </x:c>
      <x:c r="N152" s="11" t="str">
        <x:v>本款官方产品页版本；再版与配色名称按原始商品名保留，不推断所有批次。</x:v>
      </x:c>
      <x:c r="O152" s="11" t="str">
        <x:v>高度 12 cm（官方本款规格的约全高；是否计入底座未单独说明）</x:v>
      </x:c>
      <x:c r="P152" s="11" t="str">
        <x:v>本款规格：无固定比例；高度 12 cm（官方本款规格的约全高；是否计入底座未单独说明）；材料：塑料；交付：涂装成品、计划商品。
版本与商品范围：原始商品名：figma Panty &amp; Stocking: Angel ver. Set。作品／产品线：New PANTY &amp; STOCKING with GARTERBELT。官方页面标示出货月：2027-07；计划月份不作为已出货证明。
换件与适配：来源明确的操作：换脸。跨品牌接口、身体和衣物互换不从系列名称推断；具体限制应以本款产品页为准。</x:v>
      </x:c>
      <x:c r="Q152" s="11" t="str">
        <x:v>未取得产品对应证据</x:v>
      </x:c>
      <x:c r="R152" s="11" t="str">
        <x:v>2026-10-05</x:v>
      </x:c>
      <x:c r="S152" s="11" t="str">
        <x:v>gsc-figma-1146353</x:v>
      </x:c>
      <x:c r="T152" s="11" t="str">
        <x:v>https://www.goodsmile.com/en/product/1146353</x:v>
      </x:c>
    </x:row>
    <x:row r="153" ht="111" customHeight="1">
      <x:c r="A153" s="11" t="str">
        <x:v>figma Panty: Angel ver.</x:v>
      </x:c>
      <x:c r="B153" s="11" t="str">
        <x:v>Good Smile Company</x:v>
      </x:c>
      <x:c r="C153" s="12" t="str">
        <x:v>关节可动</x:v>
      </x:c>
      <x:c r="D153" s="13" t="str">
        <x:v>涂装成品、计划商品</x:v>
      </x:c>
      <x:c r="E153" s="20" t="str">
        <x:v>无固定比例</x:v>
      </x:c>
      <x:c r="F153" s="21" t="n">
        <x:v>120</x:v>
      </x:c>
      <x:c r="G153" s="16" t="str">
        <x:v>官方本款规格的约全高；是否计入底座未单独说明</x:v>
      </x:c>
      <x:c r="H153" s="17" t="str">
        <x:v>换脸</x:v>
      </x:c>
      <x:c r="I153" s="18" t="str">
        <x:v>塑料</x:v>
      </x:c>
      <x:c r="J153" s="19" t="str">
        <x:v>角色人形</x:v>
      </x:c>
      <x:c r="K153" s="11" t="str">
        <x:v>figma Panty: Angel ver.</x:v>
      </x:c>
      <x:c r="L153" s="11" t="str">
        <x:v>未单独核对</x:v>
      </x:c>
      <x:c r="M153" s="11" t="str">
        <x:v>未披露</x:v>
      </x:c>
      <x:c r="N153" s="11" t="str">
        <x:v>本款官方产品页版本；再版与配色名称按原始商品名保留，不推断所有批次。</x:v>
      </x:c>
      <x:c r="O153" s="11" t="str">
        <x:v>高度 12 cm（官方本款规格的约全高；是否计入底座未单独说明）</x:v>
      </x:c>
      <x:c r="P153" s="11" t="str">
        <x:v>本款规格：无固定比例；高度 12 cm（官方本款规格的约全高；是否计入底座未单独说明）；材料：塑料；交付：涂装成品、计划商品。
版本与商品范围：原始商品名：figma Panty: Angel ver.。作品／产品线：New PANTY &amp; STOCKING with GARTERBELT。官方页面标示出货月：2027-07；计划月份不作为已出货证明。
换件与适配：来源明确的操作：换脸。跨品牌接口、身体和衣物互换不从系列名称推断；具体限制应以本款产品页为准。</x:v>
      </x:c>
      <x:c r="Q153" s="11" t="str">
        <x:v>未取得产品对应证据</x:v>
      </x:c>
      <x:c r="R153" s="11" t="str">
        <x:v>2026-10-05</x:v>
      </x:c>
      <x:c r="S153" s="11" t="str">
        <x:v>gsc-figma-1137998</x:v>
      </x:c>
      <x:c r="T153" s="11" t="str">
        <x:v>https://www.goodsmile.com/en/product/1137998</x:v>
      </x:c>
    </x:row>
    <x:row r="154" ht="111" customHeight="1">
      <x:c r="A154" s="11" t="str">
        <x:v>figma Stocking: Angel ver.</x:v>
      </x:c>
      <x:c r="B154" s="11" t="str">
        <x:v>Good Smile Company</x:v>
      </x:c>
      <x:c r="C154" s="12" t="str">
        <x:v>关节可动</x:v>
      </x:c>
      <x:c r="D154" s="13" t="str">
        <x:v>涂装成品、计划商品</x:v>
      </x:c>
      <x:c r="E154" s="20" t="str">
        <x:v>无固定比例</x:v>
      </x:c>
      <x:c r="F154" s="21" t="n">
        <x:v>120</x:v>
      </x:c>
      <x:c r="G154" s="16" t="str">
        <x:v>官方本款规格的约全高；是否计入底座未单独说明</x:v>
      </x:c>
      <x:c r="H154" s="17" t="str">
        <x:v>换脸</x:v>
      </x:c>
      <x:c r="I154" s="18" t="str">
        <x:v>塑料</x:v>
      </x:c>
      <x:c r="J154" s="19" t="str">
        <x:v>角色人形</x:v>
      </x:c>
      <x:c r="K154" s="11" t="str">
        <x:v>figma Stocking: Angel ver.</x:v>
      </x:c>
      <x:c r="L154" s="11" t="str">
        <x:v>未单独核对</x:v>
      </x:c>
      <x:c r="M154" s="11" t="str">
        <x:v>未披露</x:v>
      </x:c>
      <x:c r="N154" s="11" t="str">
        <x:v>本款官方产品页版本；再版与配色名称按原始商品名保留，不推断所有批次。</x:v>
      </x:c>
      <x:c r="O154" s="11" t="str">
        <x:v>高度 12 cm（官方本款规格的约全高；是否计入底座未单独说明）</x:v>
      </x:c>
      <x:c r="P154" s="11" t="str">
        <x:v>本款规格：无固定比例；高度 12 cm（官方本款规格的约全高；是否计入底座未单独说明）；材料：塑料；交付：涂装成品、计划商品。
版本与商品范围：原始商品名：figma Stocking: Angel ver.。作品／产品线：New PANTY &amp; STOCKING with GARTERBELT。官方页面标示出货月：2027-07；计划月份不作为已出货证明。
换件与适配：来源明确的操作：换脸。跨品牌接口、身体和衣物互换不从系列名称推断；具体限制应以本款产品页为准。</x:v>
      </x:c>
      <x:c r="Q154" s="11" t="str">
        <x:v>未取得产品对应证据</x:v>
      </x:c>
      <x:c r="R154" s="11" t="str">
        <x:v>2026-10-05</x:v>
      </x:c>
      <x:c r="S154" s="11" t="str">
        <x:v>gsc-figma-1137999</x:v>
      </x:c>
      <x:c r="T154" s="11" t="str">
        <x:v>https://www.goodsmile.com/en/product/1137999</x:v>
      </x:c>
    </x:row>
    <x:row r="155" ht="110" customHeight="1">
      <x:c r="A155" s="11" t="str">
        <x:v>figma Noa Ushio</x:v>
      </x:c>
      <x:c r="B155" s="11" t="str">
        <x:v>Good Smile Company</x:v>
      </x:c>
      <x:c r="C155" s="12" t="str">
        <x:v>关节可动</x:v>
      </x:c>
      <x:c r="D155" s="13" t="str">
        <x:v>涂装成品、计划商品</x:v>
      </x:c>
      <x:c r="E155" s="20" t="str">
        <x:v>无固定比例</x:v>
      </x:c>
      <x:c r="F155" s="21" t="n">
        <x:v>145</x:v>
      </x:c>
      <x:c r="G155" s="16" t="str">
        <x:v>官方本款规格的约全高；是否计入底座未单独说明</x:v>
      </x:c>
      <x:c r="H155" s="17" t="str">
        <x:v>换脸</x:v>
      </x:c>
      <x:c r="I155" s="18" t="str">
        <x:v>塑料</x:v>
      </x:c>
      <x:c r="J155" s="19" t="str">
        <x:v>角色人形</x:v>
      </x:c>
      <x:c r="K155" s="11" t="str">
        <x:v>figma Noa Ushio</x:v>
      </x:c>
      <x:c r="L155" s="11" t="str">
        <x:v>未单独核对</x:v>
      </x:c>
      <x:c r="M155" s="11" t="str">
        <x:v>未披露</x:v>
      </x:c>
      <x:c r="N155" s="11" t="str">
        <x:v>本款官方产品页版本；再版与配色名称按原始商品名保留，不推断所有批次。</x:v>
      </x:c>
      <x:c r="O155" s="11" t="str">
        <x:v>高度 14.5 cm（官方本款规格的约全高；是否计入底座未单独说明）</x:v>
      </x:c>
      <x:c r="P155" s="11" t="str">
        <x:v>本款规格：无固定比例；高度 14.5 cm（官方本款规格的约全高；是否计入底座未单独说明）；材料：塑料；交付：涂装成品、计划商品。
版本与商品范围：原始商品名：figma Noa Ushio。作品／产品线：Blue Archive。官方页面标示出货月：2027-08；计划月份不作为已出货证明。
换件与适配：来源明确的操作：换脸。跨品牌接口、身体和衣物互换不从系列名称推断；具体限制应以本款产品页为准。</x:v>
      </x:c>
      <x:c r="Q155" s="11" t="str">
        <x:v>未取得产品对应证据</x:v>
      </x:c>
      <x:c r="R155" s="11" t="str">
        <x:v>2026-10-05</x:v>
      </x:c>
      <x:c r="S155" s="11" t="str">
        <x:v>gsc-figma-1137995</x:v>
      </x:c>
      <x:c r="T155" s="11" t="str">
        <x:v>https://www.goodsmile.com/en/product/1137995</x:v>
      </x:c>
    </x:row>
    <x:row r="156" ht="111" customHeight="1">
      <x:c r="A156" s="11" t="str">
        <x:v>figma Anis: Sparkling Summer</x:v>
      </x:c>
      <x:c r="B156" s="11" t="str">
        <x:v>Max Factory</x:v>
      </x:c>
      <x:c r="C156" s="12" t="str">
        <x:v>关节可动</x:v>
      </x:c>
      <x:c r="D156" s="13" t="str">
        <x:v>涂装成品、计划商品</x:v>
      </x:c>
      <x:c r="E156" s="20" t="str">
        <x:v>无固定比例</x:v>
      </x:c>
      <x:c r="F156" s="21" t="n">
        <x:v>150</x:v>
      </x:c>
      <x:c r="G156" s="16" t="str">
        <x:v>官方本款规格的约全高；是否计入底座未单独说明</x:v>
      </x:c>
      <x:c r="H156" s="17" t="str">
        <x:v>换脸</x:v>
      </x:c>
      <x:c r="I156" s="18" t="str">
        <x:v>塑料</x:v>
      </x:c>
      <x:c r="J156" s="19" t="str">
        <x:v>角色人形</x:v>
      </x:c>
      <x:c r="K156" s="11" t="str">
        <x:v>figma Anis: Sparkling Summer</x:v>
      </x:c>
      <x:c r="L156" s="11" t="str">
        <x:v>未单独核对</x:v>
      </x:c>
      <x:c r="M156" s="11" t="str">
        <x:v>未披露</x:v>
      </x:c>
      <x:c r="N156" s="11" t="str">
        <x:v>本款官方产品页版本；再版与配色名称按原始商品名保留，不推断所有批次。</x:v>
      </x:c>
      <x:c r="O156" s="11" t="str">
        <x:v>高度 15 cm（官方本款规格的约全高；是否计入底座未单独说明）</x:v>
      </x:c>
      <x:c r="P156" s="11" t="str">
        <x:v>本款规格：无固定比例；高度 15 cm（官方本款规格的约全高；是否计入底座未单独说明）；材料：塑料；交付：涂装成品、计划商品。
版本与商品范围：原始商品名：figma Anis: Sparkling Summer。作品／产品线：GODDESS OF VICTORY: NIKKE。官方页面标示出货月：2027-06；计划月份不作为已出货证明。
换件与适配：来源明确的操作：换脸。跨品牌接口、身体和衣物互换不从系列名称推断；具体限制应以本款产品页为准。</x:v>
      </x:c>
      <x:c r="Q156" s="11" t="str">
        <x:v>未取得产品对应证据</x:v>
      </x:c>
      <x:c r="R156" s="11" t="str">
        <x:v>2026-10-05</x:v>
      </x:c>
      <x:c r="S156" s="11" t="str">
        <x:v>gsc-figma-1145947</x:v>
      </x:c>
      <x:c r="T156" s="11" t="str">
        <x:v>https://www.goodsmile.com/en/product/1145947</x:v>
      </x:c>
    </x:row>
    <x:row r="157" ht="111" customHeight="1">
      <x:c r="A157" s="11" t="str">
        <x:v>figma Nekomata Okayu</x:v>
      </x:c>
      <x:c r="B157" s="11" t="str">
        <x:v>Max Factory</x:v>
      </x:c>
      <x:c r="C157" s="12" t="str">
        <x:v>关节可动</x:v>
      </x:c>
      <x:c r="D157" s="13" t="str">
        <x:v>涂装成品、计划商品</x:v>
      </x:c>
      <x:c r="E157" s="20" t="str">
        <x:v>无固定比例</x:v>
      </x:c>
      <x:c r="F157" s="21" t="n">
        <x:v>140</x:v>
      </x:c>
      <x:c r="G157" s="16" t="str">
        <x:v>官方本款规格的约全高；是否计入底座未单独说明</x:v>
      </x:c>
      <x:c r="H157" s="17" t="str">
        <x:v>换脸</x:v>
      </x:c>
      <x:c r="I157" s="18" t="str">
        <x:v>塑料</x:v>
      </x:c>
      <x:c r="J157" s="19" t="str">
        <x:v>角色人形</x:v>
      </x:c>
      <x:c r="K157" s="11" t="str">
        <x:v>figma Nekomata Okayu</x:v>
      </x:c>
      <x:c r="L157" s="11" t="str">
        <x:v>未单独核对</x:v>
      </x:c>
      <x:c r="M157" s="11" t="str">
        <x:v>未披露</x:v>
      </x:c>
      <x:c r="N157" s="11" t="str">
        <x:v>本款官方产品页版本；再版与配色名称按原始商品名保留，不推断所有批次。</x:v>
      </x:c>
      <x:c r="O157" s="11" t="str">
        <x:v>高度 14 cm（官方本款规格的约全高；是否计入底座未单独说明）</x:v>
      </x:c>
      <x:c r="P157" s="11" t="str">
        <x:v>本款规格：无固定比例；高度 14 cm（官方本款规格的约全高；是否计入底座未单独说明）；材料：塑料；交付：涂装成品、计划商品。
版本与商品范围：原始商品名：figma Nekomata Okayu。作品／产品线：hololive production。官方页面标示出货月：2027-08；计划月份不作为已出货证明。
换件与适配：来源明确的操作：换脸。跨品牌接口、身体和衣物互换不从系列名称推断；具体限制应以本款产品页为准。</x:v>
      </x:c>
      <x:c r="Q157" s="11" t="str">
        <x:v>未取得产品对应证据</x:v>
      </x:c>
      <x:c r="R157" s="11" t="str">
        <x:v>2026-10-05</x:v>
      </x:c>
      <x:c r="S157" s="11" t="str">
        <x:v>gsc-figma-1143910</x:v>
      </x:c>
      <x:c r="T157" s="11" t="str">
        <x:v>https://www.goodsmile.com/en/product/1143910</x:v>
      </x:c>
    </x:row>
    <x:row r="158" ht="111" customHeight="1">
      <x:c r="A158" s="11" t="str">
        <x:v>figma Umamusume: Pretty Derby Nice Nature</x:v>
      </x:c>
      <x:c r="B158" s="11" t="str">
        <x:v>Max Factory</x:v>
      </x:c>
      <x:c r="C158" s="12" t="str">
        <x:v>关节可动</x:v>
      </x:c>
      <x:c r="D158" s="13" t="str">
        <x:v>涂装成品、计划商品</x:v>
      </x:c>
      <x:c r="E158" s="20" t="str">
        <x:v>无固定比例</x:v>
      </x:c>
      <x:c r="F158" s="21" t="n">
        <x:v>140</x:v>
      </x:c>
      <x:c r="G158" s="16" t="str">
        <x:v>官方本款规格的约全高；是否计入底座未单独说明</x:v>
      </x:c>
      <x:c r="H158" s="17" t="str">
        <x:v>换脸</x:v>
      </x:c>
      <x:c r="I158" s="18" t="str">
        <x:v>塑料</x:v>
      </x:c>
      <x:c r="J158" s="19" t="str">
        <x:v>角色人形</x:v>
      </x:c>
      <x:c r="K158" s="11" t="str">
        <x:v>figma Umamusume: Pretty Derby Nice Nature</x:v>
      </x:c>
      <x:c r="L158" s="11" t="str">
        <x:v>未单独核对</x:v>
      </x:c>
      <x:c r="M158" s="11" t="str">
        <x:v>未披露</x:v>
      </x:c>
      <x:c r="N158" s="11" t="str">
        <x:v>本款官方产品页版本；再版与配色名称按原始商品名保留，不推断所有批次。</x:v>
      </x:c>
      <x:c r="O158" s="11" t="str">
        <x:v>高度 14 cm（官方本款规格的约全高；是否计入底座未单独说明）</x:v>
      </x:c>
      <x:c r="P158" s="11" t="str">
        <x:v>本款规格：无固定比例；高度 14 cm（官方本款规格的约全高；是否计入底座未单独说明）；材料：塑料；交付：涂装成品、计划商品。
版本与商品范围：原始商品名：figma Umamusume: Pretty Derby Nice Nature。作品／产品线：Umamusume: Pretty Derby。官方页面标示出货月：2027-04；计划月份不作为已出货证明。
换件与适配：来源明确的操作：换脸。跨品牌接口、身体和衣物互换不从系列名称推断；具体限制应以本款产品页为准。</x:v>
      </x:c>
      <x:c r="Q158" s="11" t="str">
        <x:v>未取得产品对应证据</x:v>
      </x:c>
      <x:c r="R158" s="11" t="str">
        <x:v>2026-10-05</x:v>
      </x:c>
      <x:c r="S158" s="11" t="str">
        <x:v>gsc-figma-12485</x:v>
      </x:c>
      <x:c r="T158" s="11" t="str">
        <x:v>https://www.goodsmile.com/en/product/12485</x:v>
      </x:c>
    </x:row>
    <x:row r="159" ht="110" customHeight="1">
      <x:c r="A159" s="11" t="str">
        <x:v>figma Lucifer</x:v>
      </x:c>
      <x:c r="B159" s="11" t="str">
        <x:v>Good Smile Company</x:v>
      </x:c>
      <x:c r="C159" s="12" t="str">
        <x:v>关节可动</x:v>
      </x:c>
      <x:c r="D159" s="13" t="str">
        <x:v>涂装成品、计划商品</x:v>
      </x:c>
      <x:c r="E159" s="20" t="str">
        <x:v>无固定比例</x:v>
      </x:c>
      <x:c r="F159" s="21" t="n">
        <x:v>150</x:v>
      </x:c>
      <x:c r="G159" s="16" t="str">
        <x:v>官方本款规格的约全高；是否计入底座未单独说明</x:v>
      </x:c>
      <x:c r="H159" s="17" t="str">
        <x:v>换脸</x:v>
      </x:c>
      <x:c r="I159" s="18" t="str">
        <x:v>塑料</x:v>
      </x:c>
      <x:c r="J159" s="19" t="str">
        <x:v>角色人形</x:v>
      </x:c>
      <x:c r="K159" s="11" t="str">
        <x:v>figma Lucifer</x:v>
      </x:c>
      <x:c r="L159" s="11" t="str">
        <x:v>未单独核对</x:v>
      </x:c>
      <x:c r="M159" s="11" t="str">
        <x:v>未披露</x:v>
      </x:c>
      <x:c r="N159" s="11" t="str">
        <x:v>本款官方产品页版本；再版与配色名称按原始商品名保留，不推断所有批次。</x:v>
      </x:c>
      <x:c r="O159" s="11" t="str">
        <x:v>高度 15 cm（官方本款规格的约全高；是否计入底座未单独说明）</x:v>
      </x:c>
      <x:c r="P159" s="11" t="str">
        <x:v>本款规格：无固定比例；高度 15 cm（官方本款规格的约全高；是否计入底座未单独说明）；材料：塑料；交付：涂装成品、计划商品。
版本与商品范围：原始商品名：figma Lucifer。作品／产品线：Helltaker。官方页面标示出货月：2027-04；计划月份不作为已出货证明。
换件与适配：来源明确的操作：换脸。跨品牌接口、身体和衣物互换不从系列名称推断；具体限制应以本款产品页为准。</x:v>
      </x:c>
      <x:c r="Q159" s="11" t="str">
        <x:v>未取得产品对应证据</x:v>
      </x:c>
      <x:c r="R159" s="11" t="str">
        <x:v>2026-10-05</x:v>
      </x:c>
      <x:c r="S159" s="11" t="str">
        <x:v>gsc-figma-1137486</x:v>
      </x:c>
      <x:c r="T159" s="11" t="str">
        <x:v>https://www.goodsmile.com/en/product/1137486</x:v>
      </x:c>
    </x:row>
    <x:row r="160" ht="111" customHeight="1">
      <x:c r="A160" s="11" t="str">
        <x:v>figma Veronica Sweetheart: Swimsuit Ver.</x:v>
      </x:c>
      <x:c r="B160" s="11" t="str">
        <x:v>Max Factory</x:v>
      </x:c>
      <x:c r="C160" s="12" t="str">
        <x:v>关节可动</x:v>
      </x:c>
      <x:c r="D160" s="13" t="str">
        <x:v>涂装成品、计划商品</x:v>
      </x:c>
      <x:c r="E160" s="20" t="str">
        <x:v>无固定比例</x:v>
      </x:c>
      <x:c r="F160" s="21" t="n">
        <x:v>150</x:v>
      </x:c>
      <x:c r="G160" s="16" t="str">
        <x:v>官方本款规格的约全高；是否计入底座未单独说明</x:v>
      </x:c>
      <x:c r="H160" s="17" t="str">
        <x:v>换脸</x:v>
      </x:c>
      <x:c r="I160" s="18" t="str">
        <x:v>塑料</x:v>
      </x:c>
      <x:c r="J160" s="19" t="str">
        <x:v>角色人形</x:v>
      </x:c>
      <x:c r="K160" s="11" t="str">
        <x:v>figma Veronica Sweetheart: Swimsuit Ver.</x:v>
      </x:c>
      <x:c r="L160" s="11" t="str">
        <x:v>未单独核对</x:v>
      </x:c>
      <x:c r="M160" s="11" t="str">
        <x:v>未披露</x:v>
      </x:c>
      <x:c r="N160" s="11" t="str">
        <x:v>本款官方产品页版本；再版与配色名称按原始商品名保留，不推断所有批次。</x:v>
      </x:c>
      <x:c r="O160" s="11" t="str">
        <x:v>高度 15 cm（官方本款规格的约全高；是否计入底座未单独说明）</x:v>
      </x:c>
      <x:c r="P160" s="11" t="str">
        <x:v>本款规格：无固定比例；高度 15 cm（官方本款规格的约全高；是否计入底座未单独说明）；材料：塑料；交付：涂装成品、计划商品。
版本与商品范围：原始商品名：figma Veronica Sweetheart: Swimsuit Ver.。作品／产品线：BUNNY SUIT PLANNING。官方页面标示出货月：2027-06；计划月份不作为已出货证明。
换件与适配：来源明确的操作：换脸。跨品牌接口、身体和衣物互换不从系列名称推断；具体限制应以本款产品页为准。</x:v>
      </x:c>
      <x:c r="Q160" s="11" t="str">
        <x:v>未取得产品对应证据</x:v>
      </x:c>
      <x:c r="R160" s="11" t="str">
        <x:v>2026-10-05</x:v>
      </x:c>
      <x:c r="S160" s="11" t="str">
        <x:v>gsc-figma-1142705</x:v>
      </x:c>
      <x:c r="T160" s="11" t="str">
        <x:v>https://www.goodsmile.com/en/product/1142705</x:v>
      </x:c>
    </x:row>
    <x:row r="161" ht="111" customHeight="1">
      <x:c r="A161" s="11" t="str">
        <x:v>figma Ena Toyosaki ver. 1.5</x:v>
      </x:c>
      <x:c r="B161" s="11" t="str">
        <x:v>TOMYTEC</x:v>
      </x:c>
      <x:c r="C161" s="12" t="str">
        <x:v>关节可动</x:v>
      </x:c>
      <x:c r="D161" s="13" t="str">
        <x:v>涂装成品、计划商品</x:v>
      </x:c>
      <x:c r="E161" s="20" t="str">
        <x:v>无固定比例</x:v>
      </x:c>
      <x:c r="F161" s="21" t="n">
        <x:v>130</x:v>
      </x:c>
      <x:c r="G161" s="16" t="str">
        <x:v>官方本款规格的约全高；是否计入底座未单独说明</x:v>
      </x:c>
      <x:c r="H161" s="17" t="str">
        <x:v>换脸、水贴定制</x:v>
      </x:c>
      <x:c r="I161" s="18" t="str">
        <x:v>PS、棉、聚酯纤维</x:v>
      </x:c>
      <x:c r="J161" s="19" t="str">
        <x:v>角色人形</x:v>
      </x:c>
      <x:c r="K161" s="11" t="str">
        <x:v>figma Ena Toyosaki ver. 1.5</x:v>
      </x:c>
      <x:c r="L161" s="11" t="str">
        <x:v>未单独核对</x:v>
      </x:c>
      <x:c r="M161" s="11" t="str">
        <x:v>未披露</x:v>
      </x:c>
      <x:c r="N161" s="11" t="str">
        <x:v>本款官方产品页版本；再版与配色名称按原始商品名保留，不推断所有批次。</x:v>
      </x:c>
      <x:c r="O161" s="11" t="str">
        <x:v>高度 13 cm（官方本款规格的约全高；是否计入底座未单独说明）</x:v>
      </x:c>
      <x:c r="P161" s="11" t="str">
        <x:v>本款规格：无固定比例；高度 13 cm（官方本款规格的约全高；是否计入底座未单独说明）；材料：PS、棉、聚酯纤维；交付：涂装成品、计划商品。
版本与商品范围：原始商品名：figma Ena Toyosaki ver. 1.5。作品／产品线：Little Armory。官方页面标示出货月：2027-04；计划月份不作为已出货证明。
换件与适配：来源明确的操作：换脸、水贴定制。跨品牌接口、身体和衣物互换不从系列名称推断；具体限制应以本款产品页为准。</x:v>
      </x:c>
      <x:c r="Q161" s="11" t="str">
        <x:v>未取得产品对应证据</x:v>
      </x:c>
      <x:c r="R161" s="11" t="str">
        <x:v>2026-10-05</x:v>
      </x:c>
      <x:c r="S161" s="11" t="str">
        <x:v>gsc-figma-1146176</x:v>
      </x:c>
      <x:c r="T161" s="11" t="str">
        <x:v>https://www.goodsmile.com/en/product/1146176</x:v>
      </x:c>
    </x:row>
    <x:row r="162" ht="111" customHeight="1">
      <x:c r="A162" s="11" t="str">
        <x:v>figma Miyo Asato: Summer Uniform ver. 1.5</x:v>
      </x:c>
      <x:c r="B162" s="11" t="str">
        <x:v>TOMYTEC</x:v>
      </x:c>
      <x:c r="C162" s="12" t="str">
        <x:v>关节可动</x:v>
      </x:c>
      <x:c r="D162" s="13" t="str">
        <x:v>涂装成品、计划商品</x:v>
      </x:c>
      <x:c r="E162" s="20" t="str">
        <x:v>无固定比例</x:v>
      </x:c>
      <x:c r="F162" s="21" t="n">
        <x:v>130</x:v>
      </x:c>
      <x:c r="G162" s="16" t="str">
        <x:v>官方本款规格的约全高；是否计入底座未单独说明</x:v>
      </x:c>
      <x:c r="H162" s="17" t="str">
        <x:v>换脸、水贴定制</x:v>
      </x:c>
      <x:c r="I162" s="18" t="str">
        <x:v>PS、棉、聚酯纤维</x:v>
      </x:c>
      <x:c r="J162" s="19" t="str">
        <x:v>角色人形</x:v>
      </x:c>
      <x:c r="K162" s="11" t="str">
        <x:v>figma Miyo Asato: Summer Uniform ver. 1.5</x:v>
      </x:c>
      <x:c r="L162" s="11" t="str">
        <x:v>未单独核对</x:v>
      </x:c>
      <x:c r="M162" s="11" t="str">
        <x:v>未披露</x:v>
      </x:c>
      <x:c r="N162" s="11" t="str">
        <x:v>本款官方产品页版本；再版与配色名称按原始商品名保留，不推断所有批次。</x:v>
      </x:c>
      <x:c r="O162" s="11" t="str">
        <x:v>高度 13 cm（官方本款规格的约全高；是否计入底座未单独说明）</x:v>
      </x:c>
      <x:c r="P162" s="11" t="str">
        <x:v>本款规格：无固定比例；高度 13 cm（官方本款规格的约全高；是否计入底座未单独说明）；材料：PS、棉、聚酯纤维；交付：涂装成品、计划商品。
版本与商品范围：原始商品名：figma Miyo Asato: Summer Uniform ver. 1.5。作品／产品线：Little Armory。官方页面标示出货月：2027-04；计划月份不作为已出货证明。
换件与适配：来源明确的操作：换脸、水贴定制。跨品牌接口、身体和衣物互换不从系列名称推断；具体限制应以本款产品页为准。</x:v>
      </x:c>
      <x:c r="Q162" s="11" t="str">
        <x:v>未取得产品对应证据</x:v>
      </x:c>
      <x:c r="R162" s="11" t="str">
        <x:v>2026-10-05</x:v>
      </x:c>
      <x:c r="S162" s="11" t="str">
        <x:v>gsc-figma-1146175</x:v>
      </x:c>
      <x:c r="T162" s="11" t="str">
        <x:v>https://www.goodsmile.com/en/product/1146175</x:v>
      </x:c>
    </x:row>
    <x:row r="163" ht="111" customHeight="1">
      <x:c r="A163" s="11" t="str">
        <x:v>figma Albedo</x:v>
      </x:c>
      <x:c r="B163" s="11" t="str">
        <x:v>Good Smile Company</x:v>
      </x:c>
      <x:c r="C163" s="12" t="str">
        <x:v>关节可动</x:v>
      </x:c>
      <x:c r="D163" s="13" t="str">
        <x:v>涂装成品、计划商品</x:v>
      </x:c>
      <x:c r="E163" s="20" t="str">
        <x:v>无固定比例</x:v>
      </x:c>
      <x:c r="F163" s="21" t="n">
        <x:v>160</x:v>
      </x:c>
      <x:c r="G163" s="16" t="str">
        <x:v>官方本款规格的约全高；是否计入底座未单独说明</x:v>
      </x:c>
      <x:c r="H163" s="17" t="str">
        <x:v>换脸</x:v>
      </x:c>
      <x:c r="I163" s="18" t="str">
        <x:v>塑料</x:v>
      </x:c>
      <x:c r="J163" s="19" t="str">
        <x:v>角色人形</x:v>
      </x:c>
      <x:c r="K163" s="11" t="str">
        <x:v>figma Albedo</x:v>
      </x:c>
      <x:c r="L163" s="11" t="str">
        <x:v>未单独核对</x:v>
      </x:c>
      <x:c r="M163" s="11" t="str">
        <x:v>未披露</x:v>
      </x:c>
      <x:c r="N163" s="11" t="str">
        <x:v>本款官方产品页版本；再版与配色名称按原始商品名保留，不推断所有批次。</x:v>
      </x:c>
      <x:c r="O163" s="11" t="str">
        <x:v>高度 16 cm（官方本款规格的约全高；是否计入底座未单独说明）</x:v>
      </x:c>
      <x:c r="P163" s="11" t="str">
        <x:v>本款规格：无固定比例；高度 16 cm（官方本款规格的约全高；是否计入底座未单独说明）；材料：塑料；交付：涂装成品、计划商品。
版本与商品范围：原始商品名：figma Albedo。作品／产品线：Overlord: The Holy Kingdom。官方页面标示出货月：2027-06；计划月份不作为已出货证明。
换件与适配：来源明确的操作：换脸。跨品牌接口、身体和衣物互换不从系列名称推断；具体限制应以本款产品页为准。</x:v>
      </x:c>
      <x:c r="Q163" s="11" t="str">
        <x:v>未取得产品对应证据</x:v>
      </x:c>
      <x:c r="R163" s="11" t="str">
        <x:v>2026-10-05</x:v>
      </x:c>
      <x:c r="S163" s="11" t="str">
        <x:v>gsc-figma-62125</x:v>
      </x:c>
      <x:c r="T163" s="11" t="str">
        <x:v>https://www.goodsmile.com/en/product/62125</x:v>
      </x:c>
    </x:row>
    <x:row r="164" ht="110" customHeight="1">
      <x:c r="A164" s="11" t="str">
        <x:v>figma Angel Statues</x:v>
      </x:c>
      <x:c r="B164" s="11" t="str">
        <x:v>FREEing</x:v>
      </x:c>
      <x:c r="C164" s="12" t="str">
        <x:v>关节可动</x:v>
      </x:c>
      <x:c r="D164" s="13" t="str">
        <x:v>涂装成品</x:v>
      </x:c>
      <x:c r="E164" s="20" t="str">
        <x:v>无固定比例</x:v>
      </x:c>
      <x:c r="F164" s="21" t="n">
        <x:v>100</x:v>
      </x:c>
      <x:c r="G164" s="16" t="str">
        <x:v>官方本款规格的约全高；是否计入底座未单独说明</x:v>
      </x:c>
      <x:c r="H164" s="17" t="str">
        <x:v>换手</x:v>
      </x:c>
      <x:c r="I164" s="18" t="str">
        <x:v>PVC、ABS</x:v>
      </x:c>
      <x:c r="J164" s="19" t="str">
        <x:v>角色人形</x:v>
      </x:c>
      <x:c r="K164" s="11" t="str">
        <x:v>figma Angel Statues</x:v>
      </x:c>
      <x:c r="L164" s="11" t="str">
        <x:v>未单独核对</x:v>
      </x:c>
      <x:c r="M164" s="11" t="str">
        <x:v>未披露</x:v>
      </x:c>
      <x:c r="N164" s="11" t="str">
        <x:v>本款官方产品页版本；再版与配色名称按原始商品名保留，不推断所有批次。</x:v>
      </x:c>
      <x:c r="O164" s="11" t="str">
        <x:v>高度 10 cm（官方本款规格的约全高；是否计入底座未单独说明）</x:v>
      </x:c>
      <x:c r="P164" s="11" t="str">
        <x:v>本款规格：无固定比例；高度 10 cm（官方本款规格的约全高；是否计入底座未单独说明）；材料：PVC、ABS；交付：涂装成品。
版本与商品范围：原始商品名：figma Angel Statues。作品／产品线：The Table Museum。此记录未单独核对历次发售、再版与当前库存。
换件与适配：来源明确的操作：换手。跨品牌接口、身体和衣物互换不从系列名称推断；具体限制应以本款产品页为准。</x:v>
      </x:c>
      <x:c r="Q164" s="11" t="str">
        <x:v>未取得产品对应证据</x:v>
      </x:c>
      <x:c r="R164" s="11" t="str">
        <x:v>2026-10-05</x:v>
      </x:c>
      <x:c r="S164" s="11" t="str">
        <x:v>gsc-figma-3509</x:v>
      </x:c>
      <x:c r="T164" s="11" t="str">
        <x:v>https://www.goodsmile.com/en/product/3509</x:v>
      </x:c>
    </x:row>
    <x:row r="165" ht="111" customHeight="1">
      <x:c r="A165" s="11" t="str">
        <x:v>figma Nanachi</x:v>
      </x:c>
      <x:c r="B165" s="11" t="str">
        <x:v>Good Smile Company</x:v>
      </x:c>
      <x:c r="C165" s="12" t="str">
        <x:v>关节可动</x:v>
      </x:c>
      <x:c r="D165" s="13" t="str">
        <x:v>涂装成品、计划商品</x:v>
      </x:c>
      <x:c r="E165" s="20" t="str">
        <x:v>无固定比例</x:v>
      </x:c>
      <x:c r="F165" s="21" t="n">
        <x:v>110</x:v>
      </x:c>
      <x:c r="G165" s="16" t="str">
        <x:v>官方本款规格的约全高；是否计入底座未单独说明</x:v>
      </x:c>
      <x:c r="H165" s="17" t="str">
        <x:v>换脸</x:v>
      </x:c>
      <x:c r="I165" s="18" t="str">
        <x:v>塑料</x:v>
      </x:c>
      <x:c r="J165" s="19" t="str">
        <x:v>角色人形</x:v>
      </x:c>
      <x:c r="K165" s="11" t="str">
        <x:v>figma Nanachi</x:v>
      </x:c>
      <x:c r="L165" s="11" t="str">
        <x:v>未单独核对</x:v>
      </x:c>
      <x:c r="M165" s="11" t="str">
        <x:v>未披露</x:v>
      </x:c>
      <x:c r="N165" s="11" t="str">
        <x:v>本款官方产品页版本；再版与配色名称按原始商品名保留，不推断所有批次。</x:v>
      </x:c>
      <x:c r="O165" s="11" t="str">
        <x:v>高度 11 cm（官方本款规格的约全高；是否计入底座未单独说明）</x:v>
      </x:c>
      <x:c r="P165" s="11" t="str">
        <x:v>本款规格：无固定比例；高度 11 cm（官方本款规格的约全高；是否计入底座未单独说明）；材料：塑料；交付：涂装成品、计划商品。
版本与商品范围：原始商品名：figma Nanachi。作品／产品线：Made in Abyss: The Golden City of the Scorching Sun。官方页面标示出货月：2027-06；计划月份不作为已出货证明。
换件与适配：来源明确的操作：换脸。跨品牌接口、身体和衣物互换不从系列名称推断；具体限制应以本款产品页为准。</x:v>
      </x:c>
      <x:c r="Q165" s="11" t="str">
        <x:v>未取得产品对应证据</x:v>
      </x:c>
      <x:c r="R165" s="11" t="str">
        <x:v>2026-10-05</x:v>
      </x:c>
      <x:c r="S165" s="11" t="str">
        <x:v>gsc-figma-60700</x:v>
      </x:c>
      <x:c r="T165" s="11" t="str">
        <x:v>https://www.goodsmile.com/en/product/60700</x:v>
      </x:c>
    </x:row>
    <x:row r="166" ht="111" customHeight="1">
      <x:c r="A166" s="11" t="str">
        <x:v>figma Magia Baiser</x:v>
      </x:c>
      <x:c r="B166" s="11" t="str">
        <x:v>Good Smile Company</x:v>
      </x:c>
      <x:c r="C166" s="12" t="str">
        <x:v>关节可动</x:v>
      </x:c>
      <x:c r="D166" s="13" t="str">
        <x:v>涂装成品、计划商品</x:v>
      </x:c>
      <x:c r="E166" s="20" t="str">
        <x:v>无固定比例</x:v>
      </x:c>
      <x:c r="F166" s="21" t="n">
        <x:v>140</x:v>
      </x:c>
      <x:c r="G166" s="16" t="str">
        <x:v>官方本款规格的约全高；是否计入底座未单独说明</x:v>
      </x:c>
      <x:c r="H166" s="17" t="str">
        <x:v>换脸</x:v>
      </x:c>
      <x:c r="I166" s="18" t="str">
        <x:v>塑料</x:v>
      </x:c>
      <x:c r="J166" s="19" t="str">
        <x:v>角色人形</x:v>
      </x:c>
      <x:c r="K166" s="11" t="str">
        <x:v>figma Magia Baiser</x:v>
      </x:c>
      <x:c r="L166" s="11" t="str">
        <x:v>未单独核对</x:v>
      </x:c>
      <x:c r="M166" s="11" t="str">
        <x:v>未披露</x:v>
      </x:c>
      <x:c r="N166" s="11" t="str">
        <x:v>本款官方产品页版本；再版与配色名称按原始商品名保留，不推断所有批次。</x:v>
      </x:c>
      <x:c r="O166" s="11" t="str">
        <x:v>高度 14 cm（官方本款规格的约全高；是否计入底座未单独说明）</x:v>
      </x:c>
      <x:c r="P166" s="11" t="str">
        <x:v>本款规格：无固定比例；高度 14 cm（官方本款规格的约全高；是否计入底座未单独说明）；材料：塑料；交付：涂装成品、计划商品。
版本与商品范围：原始商品名：figma Magia Baiser。作品／产品线：Gushing over Magical Girls。官方页面标示出货月：2027-12；计划月份不作为已出货证明。
换件与适配：来源明确的操作：换脸。跨品牌接口、身体和衣物互换不从系列名称推断；具体限制应以本款产品页为准。</x:v>
      </x:c>
      <x:c r="Q166" s="11" t="str">
        <x:v>未取得产品对应证据</x:v>
      </x:c>
      <x:c r="R166" s="11" t="str">
        <x:v>2026-10-05</x:v>
      </x:c>
      <x:c r="S166" s="11" t="str">
        <x:v>gsc-figma-1137492</x:v>
      </x:c>
      <x:c r="T166" s="11" t="str">
        <x:v>https://www.goodsmile.com/en/product/1137492</x:v>
      </x:c>
    </x:row>
    <x:row r="167" ht="111" customHeight="1">
      <x:c r="A167" s="11" t="str">
        <x:v>figma Yuriko Okada: Electro-Wave Human Tackle Ver.</x:v>
      </x:c>
      <x:c r="B167" s="11" t="str">
        <x:v>Good Smile Company</x:v>
      </x:c>
      <x:c r="C167" s="12" t="str">
        <x:v>关节可动</x:v>
      </x:c>
      <x:c r="D167" s="13" t="str">
        <x:v>涂装成品、计划商品</x:v>
      </x:c>
      <x:c r="E167" s="20" t="str">
        <x:v>无固定比例</x:v>
      </x:c>
      <x:c r="F167" s="21" t="n">
        <x:v>140</x:v>
      </x:c>
      <x:c r="G167" s="16" t="str">
        <x:v>官方本款规格的约全高；是否计入底座未单独说明</x:v>
      </x:c>
      <x:c r="H167" s="17" t="str">
        <x:v>换脸</x:v>
      </x:c>
      <x:c r="I167" s="18" t="str">
        <x:v>塑料</x:v>
      </x:c>
      <x:c r="J167" s="19" t="str">
        <x:v>角色人形</x:v>
      </x:c>
      <x:c r="K167" s="11" t="str">
        <x:v>figma Yuriko Okada: Electro-Wave Human Tackle Ver.</x:v>
      </x:c>
      <x:c r="L167" s="11" t="str">
        <x:v>未单独核对</x:v>
      </x:c>
      <x:c r="M167" s="11" t="str">
        <x:v>未披露</x:v>
      </x:c>
      <x:c r="N167" s="11" t="str">
        <x:v>本款官方产品页版本；再版与配色名称按原始商品名保留，不推断所有批次。</x:v>
      </x:c>
      <x:c r="O167" s="11" t="str">
        <x:v>高度 14 cm（官方本款规格的约全高；是否计入底座未单独说明）</x:v>
      </x:c>
      <x:c r="P167" s="11" t="str">
        <x:v>本款规格：无固定比例；高度 14 cm（官方本款规格的约全高；是否计入底座未单独说明）；材料：塑料；交付：涂装成品、计划商品。
版本与商品范围：原始商品名：figma Yuriko Okada: Electro-Wave Human Tackle Ver.。作品／产品线：Tojima Wants to Be a Kamen Rider。官方页面标示出货月：2027-05；计划月份不作为已出货证明。
换件与适配：来源明确的操作：换脸。跨品牌接口、身体和衣物互换不从系列名称推断；具体限制应以本款产品页为准。</x:v>
      </x:c>
      <x:c r="Q167" s="11" t="str">
        <x:v>未取得产品对应证据</x:v>
      </x:c>
      <x:c r="R167" s="11" t="str">
        <x:v>2026-10-05</x:v>
      </x:c>
      <x:c r="S167" s="11" t="str">
        <x:v>gsc-figma-1141915</x:v>
      </x:c>
      <x:c r="T167" s="11" t="str">
        <x:v>https://www.goodsmile.com/en/product/1141915</x:v>
      </x:c>
    </x:row>
    <x:row r="168" ht="110" customHeight="1">
      <x:c r="A168" s="11" t="str">
        <x:v>figma Seia Yurizono</x:v>
      </x:c>
      <x:c r="B168" s="11" t="str">
        <x:v>Max Factory</x:v>
      </x:c>
      <x:c r="C168" s="12" t="str">
        <x:v>关节可动</x:v>
      </x:c>
      <x:c r="D168" s="13" t="str">
        <x:v>涂装成品、计划商品</x:v>
      </x:c>
      <x:c r="E168" s="20" t="str">
        <x:v>无固定比例</x:v>
      </x:c>
      <x:c r="F168" s="21" t="n">
        <x:v>135</x:v>
      </x:c>
      <x:c r="G168" s="16" t="str">
        <x:v>官方本款规格的约全高；是否计入底座未单独说明</x:v>
      </x:c>
      <x:c r="H168" s="17" t="str">
        <x:v>换脸</x:v>
      </x:c>
      <x:c r="I168" s="18" t="str">
        <x:v>塑料</x:v>
      </x:c>
      <x:c r="J168" s="19" t="str">
        <x:v>角色人形</x:v>
      </x:c>
      <x:c r="K168" s="11" t="str">
        <x:v>figma Seia Yurizono</x:v>
      </x:c>
      <x:c r="L168" s="11" t="str">
        <x:v>未单独核对</x:v>
      </x:c>
      <x:c r="M168" s="11" t="str">
        <x:v>未披露</x:v>
      </x:c>
      <x:c r="N168" s="11" t="str">
        <x:v>本款官方产品页版本；再版与配色名称按原始商品名保留，不推断所有批次。</x:v>
      </x:c>
      <x:c r="O168" s="11" t="str">
        <x:v>高度 13.5 cm（官方本款规格的约全高；是否计入底座未单独说明）</x:v>
      </x:c>
      <x:c r="P168" s="11" t="str">
        <x:v>本款规格：无固定比例；高度 13.5 cm（官方本款规格的约全高；是否计入底座未单独说明）；材料：塑料；交付：涂装成品、计划商品。
版本与商品范围：原始商品名：figma Seia Yurizono。作品／产品线：Blue Archive。官方页面标示出货月：2027-04；计划月份不作为已出货证明。
换件与适配：来源明确的操作：换脸。跨品牌接口、身体和衣物互换不从系列名称推断；具体限制应以本款产品页为准。</x:v>
      </x:c>
      <x:c r="Q168" s="11" t="str">
        <x:v>未取得产品对应证据</x:v>
      </x:c>
      <x:c r="R168" s="11" t="str">
        <x:v>2026-10-05</x:v>
      </x:c>
      <x:c r="S168" s="11" t="str">
        <x:v>gsc-figma-1144554</x:v>
      </x:c>
      <x:c r="T168" s="11" t="str">
        <x:v>https://www.goodsmile.com/en/product/1144554</x:v>
      </x:c>
    </x:row>
    <x:row r="169" ht="111" customHeight="1">
      <x:c r="A169" s="11" t="str">
        <x:v>figma Guyver III: Ultimate Edition</x:v>
      </x:c>
      <x:c r="B169" s="11" t="str">
        <x:v>Max Factory</x:v>
      </x:c>
      <x:c r="C169" s="12" t="str">
        <x:v>关节可动</x:v>
      </x:c>
      <x:c r="D169" s="13" t="str">
        <x:v>涂装成品、计划商品</x:v>
      </x:c>
      <x:c r="E169" s="20" t="str">
        <x:v>无固定比例</x:v>
      </x:c>
      <x:c r="F169" s="21" t="n">
        <x:v>180</x:v>
      </x:c>
      <x:c r="G169" s="16" t="str">
        <x:v>官方本款规格的约全高；是否计入底座未单独说明</x:v>
      </x:c>
      <x:c r="H169" s="17" t="str">
        <x:v>未披露</x:v>
      </x:c>
      <x:c r="I169" s="18" t="str">
        <x:v>塑料</x:v>
      </x:c>
      <x:c r="J169" s="19" t="str">
        <x:v>角色人形</x:v>
      </x:c>
      <x:c r="K169" s="11" t="str">
        <x:v>figma Guyver III: Ultimate Edition</x:v>
      </x:c>
      <x:c r="L169" s="11" t="str">
        <x:v>未单独核对</x:v>
      </x:c>
      <x:c r="M169" s="11" t="str">
        <x:v>未披露</x:v>
      </x:c>
      <x:c r="N169" s="11" t="str">
        <x:v>本款官方产品页版本；再版与配色名称按原始商品名保留，不推断所有批次。</x:v>
      </x:c>
      <x:c r="O169" s="11" t="str">
        <x:v>高度 18 cm（官方本款规格的约全高；是否计入底座未单独说明）</x:v>
      </x:c>
      <x:c r="P169" s="11" t="str">
        <x:v>本款规格：无固定比例；高度 18 cm（官方本款规格的约全高；是否计入底座未单独说明）；材料：塑料；交付：涂装成品、计划商品。
版本与商品范围：原始商品名：figma Guyver III: Ultimate Edition。作品／产品线：Bio Booster Armor Guyver。官方页面标示出货月：2027-04；计划月份不作为已出货证明。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69" s="11" t="str">
        <x:v>未取得产品对应证据</x:v>
      </x:c>
      <x:c r="R169" s="11" t="str">
        <x:v>2026-10-05</x:v>
      </x:c>
      <x:c r="S169" s="11" t="str">
        <x:v>gsc-figma-1143909</x:v>
      </x:c>
      <x:c r="T169" s="11" t="str">
        <x:v>https://www.goodsmile.com/en/product/1143909</x:v>
      </x:c>
    </x:row>
    <x:row r="170" ht="111" customHeight="1">
      <x:c r="A170" s="11" t="str">
        <x:v>figma Tanya Degurechaff</x:v>
      </x:c>
      <x:c r="B170" s="11" t="str">
        <x:v>Max Factory</x:v>
      </x:c>
      <x:c r="C170" s="12" t="str">
        <x:v>关节可动</x:v>
      </x:c>
      <x:c r="D170" s="13" t="str">
        <x:v>涂装成品、计划商品</x:v>
      </x:c>
      <x:c r="E170" s="20" t="str">
        <x:v>无固定比例</x:v>
      </x:c>
      <x:c r="F170" s="21" t="n">
        <x:v>130</x:v>
      </x:c>
      <x:c r="G170" s="16" t="str">
        <x:v>官方本款规格的约全高；是否计入底座未单独说明</x:v>
      </x:c>
      <x:c r="H170" s="17" t="str">
        <x:v>换脸</x:v>
      </x:c>
      <x:c r="I170" s="18" t="str">
        <x:v>PVC、ABS</x:v>
      </x:c>
      <x:c r="J170" s="19" t="str">
        <x:v>角色人形</x:v>
      </x:c>
      <x:c r="K170" s="11" t="str">
        <x:v>figma Tanya Degurechaff</x:v>
      </x:c>
      <x:c r="L170" s="11" t="str">
        <x:v>未单独核对</x:v>
      </x:c>
      <x:c r="M170" s="11" t="str">
        <x:v>未披露</x:v>
      </x:c>
      <x:c r="N170" s="11" t="str">
        <x:v>本款官方产品页版本；再版与配色名称按原始商品名保留，不推断所有批次。</x:v>
      </x:c>
      <x:c r="O170" s="11" t="str">
        <x:v>高度 13 cm（官方本款规格的约全高；是否计入底座未单独说明）</x:v>
      </x:c>
      <x:c r="P170" s="11" t="str">
        <x:v>本款规格：无固定比例；高度 13 cm（官方本款规格的约全高；是否计入底座未单独说明）；材料：PVC、ABS；交付：涂装成品、计划商品。
版本与商品范围：原始商品名：figma Tanya Degurechaff。作品／产品线：Saga of Tanya the Evil the Movie。官方页面标示出货月：2027-02；计划月份不作为已出货证明。
换件与适配：来源明确的操作：换脸。跨品牌接口、身体和衣物互换不从系列名称推断；具体限制应以本款产品页为准。</x:v>
      </x:c>
      <x:c r="Q170" s="11" t="str">
        <x:v>未取得产品对应证据</x:v>
      </x:c>
      <x:c r="R170" s="11" t="str">
        <x:v>2026-10-05</x:v>
      </x:c>
      <x:c r="S170" s="11" t="str">
        <x:v>gsc-figma-6055</x:v>
      </x:c>
      <x:c r="T170" s="11" t="str">
        <x:v>https://www.goodsmile.com/en/product/6055</x:v>
      </x:c>
    </x:row>
    <x:row r="171" ht="111" customHeight="1">
      <x:c r="A171" s="11" t="str">
        <x:v>figma Kayoko Onikata</x:v>
      </x:c>
      <x:c r="B171" s="11" t="str">
        <x:v>Max Factory</x:v>
      </x:c>
      <x:c r="C171" s="12" t="str">
        <x:v>关节可动</x:v>
      </x:c>
      <x:c r="D171" s="13" t="str">
        <x:v>涂装成品、计划商品</x:v>
      </x:c>
      <x:c r="E171" s="20" t="str">
        <x:v>无固定比例</x:v>
      </x:c>
      <x:c r="F171" s="21" t="n">
        <x:v>145</x:v>
      </x:c>
      <x:c r="G171" s="16" t="str">
        <x:v>官方本款规格的约全高；是否计入底座未单独说明</x:v>
      </x:c>
      <x:c r="H171" s="17" t="str">
        <x:v>换脸</x:v>
      </x:c>
      <x:c r="I171" s="18" t="str">
        <x:v>塑料</x:v>
      </x:c>
      <x:c r="J171" s="19" t="str">
        <x:v>角色人形</x:v>
      </x:c>
      <x:c r="K171" s="11" t="str">
        <x:v>figma Kayoko Onikata</x:v>
      </x:c>
      <x:c r="L171" s="11" t="str">
        <x:v>未单独核对</x:v>
      </x:c>
      <x:c r="M171" s="11" t="str">
        <x:v>未披露</x:v>
      </x:c>
      <x:c r="N171" s="11" t="str">
        <x:v>本款官方产品页版本；再版与配色名称按原始商品名保留，不推断所有批次。</x:v>
      </x:c>
      <x:c r="O171" s="11" t="str">
        <x:v>高度 14.5 cm（官方本款规格的约全高；是否计入底座未单独说明）</x:v>
      </x:c>
      <x:c r="P171" s="11" t="str">
        <x:v>本款规格：无固定比例；高度 14.5 cm（官方本款规格的约全高；是否计入底座未单独说明）；材料：塑料；交付：涂装成品、计划商品。
版本与商品范围：原始商品名：figma Kayoko Onikata。作品／产品线：Blue Archive。官方页面标示出货月：2027-04；计划月份不作为已出货证明。
换件与适配：来源明确的操作：换脸。跨品牌接口、身体和衣物互换不从系列名称推断；具体限制应以本款产品页为准。</x:v>
      </x:c>
      <x:c r="Q171" s="11" t="str">
        <x:v>未取得产品对应证据</x:v>
      </x:c>
      <x:c r="R171" s="11" t="str">
        <x:v>2026-10-05</x:v>
      </x:c>
      <x:c r="S171" s="11" t="str">
        <x:v>gsc-figma-1142700</x:v>
      </x:c>
      <x:c r="T171" s="11" t="str">
        <x:v>https://www.goodsmile.com/en/product/1142700</x:v>
      </x:c>
    </x:row>
    <x:row r="172" ht="110" customHeight="1">
      <x:c r="A172" s="11" t="str">
        <x:v>figma Valby</x:v>
      </x:c>
      <x:c r="B172" s="11" t="str">
        <x:v>Max Factory</x:v>
      </x:c>
      <x:c r="C172" s="12" t="str">
        <x:v>关节可动</x:v>
      </x:c>
      <x:c r="D172" s="13" t="str">
        <x:v>涂装成品、计划商品</x:v>
      </x:c>
      <x:c r="E172" s="20" t="str">
        <x:v>无固定比例</x:v>
      </x:c>
      <x:c r="F172" s="21" t="n">
        <x:v>156</x:v>
      </x:c>
      <x:c r="G172" s="16" t="str">
        <x:v>官方本款规格的约全高；是否计入底座未单独说明</x:v>
      </x:c>
      <x:c r="H172" s="17" t="str">
        <x:v>换脸</x:v>
      </x:c>
      <x:c r="I172" s="18" t="str">
        <x:v>塑料</x:v>
      </x:c>
      <x:c r="J172" s="19" t="str">
        <x:v>角色人形</x:v>
      </x:c>
      <x:c r="K172" s="11" t="str">
        <x:v>figma Valby</x:v>
      </x:c>
      <x:c r="L172" s="11" t="str">
        <x:v>未单独核对</x:v>
      </x:c>
      <x:c r="M172" s="11" t="str">
        <x:v>未披露</x:v>
      </x:c>
      <x:c r="N172" s="11" t="str">
        <x:v>本款官方产品页版本；再版与配色名称按原始商品名保留，不推断所有批次。</x:v>
      </x:c>
      <x:c r="O172" s="11" t="str">
        <x:v>高度 15.6 cm（官方本款规格的约全高；是否计入底座未单独说明）</x:v>
      </x:c>
      <x:c r="P172" s="11" t="str">
        <x:v>本款规格：无固定比例；高度 15.6 cm（官方本款规格的约全高；是否计入底座未单独说明）；材料：塑料；交付：涂装成品、计划商品。
版本与商品范围：原始商品名：figma Valby。作品／产品线：The First Descendant。官方页面标示出货月：2027-05；计划月份不作为已出货证明。
换件与适配：来源明确的操作：换脸。跨品牌接口、身体和衣物互换不从系列名称推断；具体限制应以本款产品页为准。</x:v>
      </x:c>
      <x:c r="Q172" s="11" t="str">
        <x:v>未取得产品对应证据</x:v>
      </x:c>
      <x:c r="R172" s="11" t="str">
        <x:v>2026-10-05</x:v>
      </x:c>
      <x:c r="S172" s="11" t="str">
        <x:v>gsc-figma-1144552</x:v>
      </x:c>
      <x:c r="T172" s="11" t="str">
        <x:v>https://www.goodsmile.com/en/product/1144552</x:v>
      </x:c>
    </x:row>
    <x:row r="173" ht="110" customHeight="1">
      <x:c r="A173" s="11" t="str">
        <x:v>figma Shiroko*Terror</x:v>
      </x:c>
      <x:c r="B173" s="11" t="str">
        <x:v>Good Smile Company</x:v>
      </x:c>
      <x:c r="C173" s="12" t="str">
        <x:v>关节可动</x:v>
      </x:c>
      <x:c r="D173" s="13" t="str">
        <x:v>涂装成品、计划商品</x:v>
      </x:c>
      <x:c r="E173" s="20" t="str">
        <x:v>无固定比例</x:v>
      </x:c>
      <x:c r="F173" s="21" t="n">
        <x:v>150</x:v>
      </x:c>
      <x:c r="G173" s="16" t="str">
        <x:v>官方本款规格的约全高；是否计入底座未单独说明</x:v>
      </x:c>
      <x:c r="H173" s="17" t="str">
        <x:v>换脸</x:v>
      </x:c>
      <x:c r="I173" s="18" t="str">
        <x:v>塑料</x:v>
      </x:c>
      <x:c r="J173" s="19" t="str">
        <x:v>角色人形</x:v>
      </x:c>
      <x:c r="K173" s="11" t="str">
        <x:v>figma Shiroko*Terror</x:v>
      </x:c>
      <x:c r="L173" s="11" t="str">
        <x:v>未单独核对</x:v>
      </x:c>
      <x:c r="M173" s="11" t="str">
        <x:v>未披露</x:v>
      </x:c>
      <x:c r="N173" s="11" t="str">
        <x:v>本款官方产品页版本；再版与配色名称按原始商品名保留，不推断所有批次。</x:v>
      </x:c>
      <x:c r="O173" s="11" t="str">
        <x:v>高度 15 cm（官方本款规格的约全高；是否计入底座未单独说明）</x:v>
      </x:c>
      <x:c r="P173" s="11" t="str">
        <x:v>本款规格：无固定比例；高度 15 cm（官方本款规格的约全高；是否计入底座未单独说明）；材料：塑料；交付：涂装成品、计划商品。
版本与商品范围：原始商品名：figma Shiroko*Terror。作品／产品线：Blue Archive。官方页面标示出货月：2027-04；计划月份不作为已出货证明。
换件与适配：来源明确的操作：换脸。跨品牌接口、身体和衣物互换不从系列名称推断；具体限制应以本款产品页为准。</x:v>
      </x:c>
      <x:c r="Q173" s="11" t="str">
        <x:v>未取得产品对应证据</x:v>
      </x:c>
      <x:c r="R173" s="11" t="str">
        <x:v>2026-10-05</x:v>
      </x:c>
      <x:c r="S173" s="11" t="str">
        <x:v>gsc-figma-1137994</x:v>
      </x:c>
      <x:c r="T173" s="11" t="str">
        <x:v>https://www.goodsmile.com/en/product/1137994</x:v>
      </x:c>
    </x:row>
    <x:row r="174" ht="111" customHeight="1">
      <x:c r="A174" s="11" t="str">
        <x:v>figma Klukai</x:v>
      </x:c>
      <x:c r="B174" s="11" t="str">
        <x:v>Max Factory</x:v>
      </x:c>
      <x:c r="C174" s="12" t="str">
        <x:v>关节可动</x:v>
      </x:c>
      <x:c r="D174" s="13" t="str">
        <x:v>涂装成品、计划商品</x:v>
      </x:c>
      <x:c r="E174" s="20" t="str">
        <x:v>无固定比例</x:v>
      </x:c>
      <x:c r="F174" s="21" t="n">
        <x:v>156</x:v>
      </x:c>
      <x:c r="G174" s="16" t="str">
        <x:v>官方本款规格的约全高；是否计入底座未单独说明</x:v>
      </x:c>
      <x:c r="H174" s="17" t="str">
        <x:v>换脸</x:v>
      </x:c>
      <x:c r="I174" s="18" t="str">
        <x:v>塑料</x:v>
      </x:c>
      <x:c r="J174" s="19" t="str">
        <x:v>角色人形</x:v>
      </x:c>
      <x:c r="K174" s="11" t="str">
        <x:v>figma Klukai</x:v>
      </x:c>
      <x:c r="L174" s="11" t="str">
        <x:v>未单独核对</x:v>
      </x:c>
      <x:c r="M174" s="11" t="str">
        <x:v>未披露</x:v>
      </x:c>
      <x:c r="N174" s="11" t="str">
        <x:v>本款官方产品页版本；再版与配色名称按原始商品名保留，不推断所有批次。</x:v>
      </x:c>
      <x:c r="O174" s="11" t="str">
        <x:v>高度 15.6 cm（官方本款规格的约全高；是否计入底座未单独说明）</x:v>
      </x:c>
      <x:c r="P174" s="11" t="str">
        <x:v>本款规格：无固定比例；高度 15.6 cm（官方本款规格的约全高；是否计入底座未单独说明）；材料：塑料；交付：涂装成品、计划商品。
版本与商品范围：原始商品名：figma Klukai。作品／产品线：Girls' Frontline 2: Exilium。官方页面标示出货月：2027-04；计划月份不作为已出货证明。
换件与适配：来源明确的操作：换脸。跨品牌接口、身体和衣物互换不从系列名称推断；具体限制应以本款产品页为准。</x:v>
      </x:c>
      <x:c r="Q174" s="11" t="str">
        <x:v>未取得产品对应证据</x:v>
      </x:c>
      <x:c r="R174" s="11" t="str">
        <x:v>2026-10-05</x:v>
      </x:c>
      <x:c r="S174" s="11" t="str">
        <x:v>gsc-figma-1142692</x:v>
      </x:c>
      <x:c r="T174" s="11" t="str">
        <x:v>https://www.goodsmile.com/en/product/1142692</x:v>
      </x:c>
    </x:row>
    <x:row r="175" ht="111" customHeight="1">
      <x:c r="A175" s="11" t="str">
        <x:v>figma Winged Victory of Samothrace</x:v>
      </x:c>
      <x:c r="B175" s="11" t="str">
        <x:v>FREEing</x:v>
      </x:c>
      <x:c r="C175" s="12" t="str">
        <x:v>关节可动</x:v>
      </x:c>
      <x:c r="D175" s="13" t="str">
        <x:v>涂装成品</x:v>
      </x:c>
      <x:c r="E175" s="20" t="str">
        <x:v>无固定比例</x:v>
      </x:c>
      <x:c r="F175" s="21" t="n">
        <x:v>155</x:v>
      </x:c>
      <x:c r="G175" s="16" t="str">
        <x:v>官方本款规格的约全高；是否计入底座未单独说明</x:v>
      </x:c>
      <x:c r="H175" s="17" t="str">
        <x:v>未披露</x:v>
      </x:c>
      <x:c r="I175" s="18" t="str">
        <x:v>塑料</x:v>
      </x:c>
      <x:c r="J175" s="19" t="str">
        <x:v>角色人形</x:v>
      </x:c>
      <x:c r="K175" s="11" t="str">
        <x:v>figma Winged Victory of Samothrace</x:v>
      </x:c>
      <x:c r="L175" s="11" t="str">
        <x:v>未单独核对</x:v>
      </x:c>
      <x:c r="M175" s="11" t="str">
        <x:v>未披露</x:v>
      </x:c>
      <x:c r="N175" s="11" t="str">
        <x:v>本款官方产品页版本；再版与配色名称按原始商品名保留，不推断所有批次。</x:v>
      </x:c>
      <x:c r="O175" s="11" t="str">
        <x:v>高度 15.5 cm（官方本款规格的约全高；是否计入底座未单独说明）</x:v>
      </x:c>
      <x:c r="P175" s="11" t="str">
        <x:v>本款规格：无固定比例；高度 15.5 cm（官方本款规格的约全高；是否计入底座未单独说明）；材料：塑料；交付：涂装成品。
版本与商品范围：原始商品名：figma Winged Victory of Samothrace。作品／产品线：The Table Museum。此记录未单独核对历次发售、再版与当前库存。
换件与适配：页面未明确布衣穿脱或跨产品换件范围。跨品牌接口、身体和衣物互换不从系列名称推断；具体限制应以本款产品页为准。</x:v>
      </x:c>
      <x:c r="Q175" s="11" t="str">
        <x:v>未取得产品对应证据</x:v>
      </x:c>
      <x:c r="R175" s="11" t="str">
        <x:v>2026-10-05</x:v>
      </x:c>
      <x:c r="S175" s="11" t="str">
        <x:v>gsc-figma-5038</x:v>
      </x:c>
      <x:c r="T175" s="11" t="str">
        <x:v>https://www.goodsmile.com/en/product/5038</x:v>
      </x:c>
    </x:row>
    <x:row r="176" ht="153" customHeight="1">
      <x:c r="A176" s="11" t="str">
        <x:v>figma Silva Barrelline</x:v>
      </x:c>
      <x:c r="B176" s="11" t="str">
        <x:v>Max Factory</x:v>
      </x:c>
      <x:c r="C176" s="12" t="str">
        <x:v>关节可动</x:v>
      </x:c>
      <x:c r="D176" s="13" t="str">
        <x:v>涂装成品、计划商品</x:v>
      </x:c>
      <x:c r="E176" s="20" t="str">
        <x:v>无固定比例</x:v>
      </x:c>
      <x:c r="F176" s="21"/>
      <x:c r="G176" s="16" t="str">
        <x:v>未披露</x:v>
      </x:c>
      <x:c r="H176" s="17" t="str">
        <x:v>换脸</x:v>
      </x:c>
      <x:c r="I176" s="18" t="str">
        <x:v>塑料</x:v>
      </x:c>
      <x:c r="J176" s="19" t="str">
        <x:v>角色人形</x:v>
      </x:c>
      <x:c r="K176" s="11" t="str">
        <x:v>figma Silva Barrelline</x:v>
      </x:c>
      <x:c r="L176" s="11" t="str">
        <x:v>未单独核对</x:v>
      </x:c>
      <x:c r="M176" s="11" t="str">
        <x:v>未披露</x:v>
      </x:c>
      <x:c r="N176" s="11" t="str">
        <x:v>本款官方产品页版本；再版与配色名称按原始商品名保留，不推断所有批次。</x:v>
      </x:c>
      <x:c r="O176" s="11" t="str">
        <x:v>高度 17 cm（官方本款规格的约全高；是否计入底座未单独说明）
头顶高度 14.8 cm（官方本款规格的约全高；是否计入底座未单独说明）</x:v>
      </x:c>
      <x:c r="P176" s="11" t="str">
        <x:v>本款规格：无固定比例；高度 17 cm（官方本款规格的约全高；是否计入底座未单独说明）；头顶高度 14.8 cm（官方本款规格的约全高；是否计入底座未单独说明）；材料：塑料；交付：涂装成品、计划商品。
版本与商品范围：原始商品名：figma Silva Barrelline。作品／产品线：BUNNY SUIT PLANNING。官方页面标示出货月：2027-04；计划月份不作为已出货证明。
换件与适配：来源明确的操作：换脸。跨品牌接口、身体和衣物互换不从系列名称推断；具体限制应以本款产品页为准。
多项尺寸口径：此产品页列出多个角色、部件或测量起止的高度，不选用其中一个数字代表全部；尺寸标签逐项保留，不画单一身高柱。</x:v>
      </x:c>
      <x:c r="Q176" s="11" t="str">
        <x:v>未取得产品对应证据</x:v>
      </x:c>
      <x:c r="R176" s="11" t="str">
        <x:v>2026-10-05</x:v>
      </x:c>
      <x:c r="S176" s="11" t="str">
        <x:v>gsc-figma-1142704</x:v>
      </x:c>
      <x:c r="T176" s="11" t="str">
        <x:v>https://www.goodsmile.com/en/product/1142704</x:v>
      </x:c>
    </x:row>
    <x:row r="177" ht="111" customHeight="1">
      <x:c r="A177" s="11" t="str">
        <x:v>figma Bridget</x:v>
      </x:c>
      <x:c r="B177" s="11" t="str">
        <x:v>Good Smile Company</x:v>
      </x:c>
      <x:c r="C177" s="12" t="str">
        <x:v>关节可动</x:v>
      </x:c>
      <x:c r="D177" s="13" t="str">
        <x:v>涂装成品、计划商品</x:v>
      </x:c>
      <x:c r="E177" s="20" t="str">
        <x:v>无固定比例</x:v>
      </x:c>
      <x:c r="F177" s="21" t="n">
        <x:v>145</x:v>
      </x:c>
      <x:c r="G177" s="16" t="str">
        <x:v>官方本款规格的约全高；是否计入底座未单独说明</x:v>
      </x:c>
      <x:c r="H177" s="17" t="str">
        <x:v>换脸</x:v>
      </x:c>
      <x:c r="I177" s="18" t="str">
        <x:v>塑料</x:v>
      </x:c>
      <x:c r="J177" s="19" t="str">
        <x:v>角色人形</x:v>
      </x:c>
      <x:c r="K177" s="11" t="str">
        <x:v>figma Bridget</x:v>
      </x:c>
      <x:c r="L177" s="11" t="str">
        <x:v>未单独核对</x:v>
      </x:c>
      <x:c r="M177" s="11" t="str">
        <x:v>未披露</x:v>
      </x:c>
      <x:c r="N177" s="11" t="str">
        <x:v>本款官方产品页版本；再版与配色名称按原始商品名保留，不推断所有批次。</x:v>
      </x:c>
      <x:c r="O177" s="11" t="str">
        <x:v>高度 14.5 cm（官方本款规格的约全高；是否计入底座未单独说明）</x:v>
      </x:c>
      <x:c r="P177" s="11" t="str">
        <x:v>本款规格：无固定比例；高度 14.5 cm（官方本款规格的约全高；是否计入底座未单独说明）；材料：塑料；交付：涂装成品、计划商品。
版本与商品范围：原始商品名：figma Bridget。作品／产品线：GUILTY GEAR -STRIVE-。官方页面标示出货月：2027-05；计划月份不作为已出货证明。
换件与适配：来源明确的操作：换脸。跨品牌接口、身体和衣物互换不从系列名称推断；具体限制应以本款产品页为准。</x:v>
      </x:c>
      <x:c r="Q177" s="11" t="str">
        <x:v>未取得产品对应证据</x:v>
      </x:c>
      <x:c r="R177" s="11" t="str">
        <x:v>2026-10-05</x:v>
      </x:c>
      <x:c r="S177" s="11" t="str">
        <x:v>gsc-figma-1137488</x:v>
      </x:c>
      <x:c r="T177" s="11" t="str">
        <x:v>https://www.goodsmile.com/en/product/1137488</x:v>
      </x:c>
    </x:row>
    <x:row r="178" ht="110" customHeight="1">
      <x:c r="A178" s="11" t="str">
        <x:v>figma Yuuka Hayase</x:v>
      </x:c>
      <x:c r="B178" s="11" t="str">
        <x:v>Max Factory</x:v>
      </x:c>
      <x:c r="C178" s="12" t="str">
        <x:v>关节可动</x:v>
      </x:c>
      <x:c r="D178" s="13" t="str">
        <x:v>涂装成品、计划商品</x:v>
      </x:c>
      <x:c r="E178" s="20" t="str">
        <x:v>无固定比例</x:v>
      </x:c>
      <x:c r="F178" s="21" t="n">
        <x:v>145</x:v>
      </x:c>
      <x:c r="G178" s="16" t="str">
        <x:v>官方本款规格的约全高；是否计入底座未单独说明</x:v>
      </x:c>
      <x:c r="H178" s="17" t="str">
        <x:v>换脸</x:v>
      </x:c>
      <x:c r="I178" s="18" t="str">
        <x:v>塑料</x:v>
      </x:c>
      <x:c r="J178" s="19" t="str">
        <x:v>角色人形</x:v>
      </x:c>
      <x:c r="K178" s="11" t="str">
        <x:v>figma Yuuka Hayase</x:v>
      </x:c>
      <x:c r="L178" s="11" t="str">
        <x:v>未单独核对</x:v>
      </x:c>
      <x:c r="M178" s="11" t="str">
        <x:v>未披露</x:v>
      </x:c>
      <x:c r="N178" s="11" t="str">
        <x:v>本款官方产品页版本；再版与配色名称按原始商品名保留，不推断所有批次。</x:v>
      </x:c>
      <x:c r="O178" s="11" t="str">
        <x:v>高度 14.5 cm（官方本款规格的约全高；是否计入底座未单独说明）</x:v>
      </x:c>
      <x:c r="P178" s="11" t="str">
        <x:v>本款规格：无固定比例；高度 14.5 cm（官方本款规格的约全高；是否计入底座未单独说明）；材料：塑料；交付：涂装成品、计划商品。
版本与商品范围：原始商品名：figma Yuuka Hayase。作品／产品线：Blue Archive。官方页面标示出货月：2027-01；计划月份不作为已出货证明。
换件与适配：来源明确的操作：换脸。跨品牌接口、身体和衣物互换不从系列名称推断；具体限制应以本款产品页为准。</x:v>
      </x:c>
      <x:c r="Q178" s="11" t="str">
        <x:v>未取得产品对应证据</x:v>
      </x:c>
      <x:c r="R178" s="11" t="str">
        <x:v>2026-10-05</x:v>
      </x:c>
      <x:c r="S178" s="11" t="str">
        <x:v>gsc-figma-60342</x:v>
      </x:c>
      <x:c r="T178" s="11" t="str">
        <x:v>https://www.goodsmile.com/en/product/60342</x:v>
      </x:c>
    </x:row>
    <x:row r="179" ht="110" customHeight="1">
      <x:c r="A179" s="11" t="str">
        <x:v>figma Ruka</x:v>
      </x:c>
      <x:c r="B179" s="11" t="str">
        <x:v>Max Factory</x:v>
      </x:c>
      <x:c r="C179" s="12" t="str">
        <x:v>关节可动</x:v>
      </x:c>
      <x:c r="D179" s="13" t="str">
        <x:v>涂装成品、计划商品</x:v>
      </x:c>
      <x:c r="E179" s="20" t="str">
        <x:v>无固定比例</x:v>
      </x:c>
      <x:c r="F179" s="21" t="n">
        <x:v>145</x:v>
      </x:c>
      <x:c r="G179" s="16" t="str">
        <x:v>官方本款规格的约全高；是否计入底座未单独说明</x:v>
      </x:c>
      <x:c r="H179" s="17" t="str">
        <x:v>换脸</x:v>
      </x:c>
      <x:c r="I179" s="18" t="str">
        <x:v>塑料</x:v>
      </x:c>
      <x:c r="J179" s="19" t="str">
        <x:v>角色人形</x:v>
      </x:c>
      <x:c r="K179" s="11" t="str">
        <x:v>figma Ruka</x:v>
      </x:c>
      <x:c r="L179" s="11" t="str">
        <x:v>未单独核对</x:v>
      </x:c>
      <x:c r="M179" s="11" t="str">
        <x:v>未披露</x:v>
      </x:c>
      <x:c r="N179" s="11" t="str">
        <x:v>本款官方产品页版本；再版与配色名称按原始商品名保留，不推断所有批次。</x:v>
      </x:c>
      <x:c r="O179" s="11" t="str">
        <x:v>高度 14.5 cm（官方本款规格的约全高；是否计入底座未单独说明）</x:v>
      </x:c>
      <x:c r="P179" s="11" t="str">
        <x:v>本款规格：无固定比例；高度 14.5 cm（官方本款规格的约全高；是否计入底座未单独说明）；材料：塑料；交付：涂装成品、计划商品。
版本与商品范围：原始商品名：figma Ruka。作品／产品线：Fukashin Ryouiki。官方页面标示出货月：2027-05；计划月份不作为已出货证明。
换件与适配：来源明确的操作：换脸。跨品牌接口、身体和衣物互换不从系列名称推断；具体限制应以本款产品页为准。</x:v>
      </x:c>
      <x:c r="Q179" s="11" t="str">
        <x:v>未取得产品对应证据</x:v>
      </x:c>
      <x:c r="R179" s="11" t="str">
        <x:v>2026-10-05</x:v>
      </x:c>
      <x:c r="S179" s="11" t="str">
        <x:v>gsc-figma-1142693</x:v>
      </x:c>
      <x:c r="T179" s="11" t="str">
        <x:v>https://www.goodsmile.com/en/product/1142693</x:v>
      </x:c>
    </x:row>
    <x:row r="180" ht="110" customHeight="1">
      <x:c r="A180" s="11" t="str">
        <x:v>figma Saori Joumae</x:v>
      </x:c>
      <x:c r="B180" s="11" t="str">
        <x:v>Good Smile Company</x:v>
      </x:c>
      <x:c r="C180" s="12" t="str">
        <x:v>关节可动</x:v>
      </x:c>
      <x:c r="D180" s="13" t="str">
        <x:v>涂装成品、计划商品</x:v>
      </x:c>
      <x:c r="E180" s="20" t="str">
        <x:v>无固定比例</x:v>
      </x:c>
      <x:c r="F180" s="21" t="n">
        <x:v>165</x:v>
      </x:c>
      <x:c r="G180" s="16" t="str">
        <x:v>官方本款规格的约全高；是否计入底座未单独说明</x:v>
      </x:c>
      <x:c r="H180" s="17" t="str">
        <x:v>换脸</x:v>
      </x:c>
      <x:c r="I180" s="18" t="str">
        <x:v>塑料</x:v>
      </x:c>
      <x:c r="J180" s="19" t="str">
        <x:v>角色人形</x:v>
      </x:c>
      <x:c r="K180" s="11" t="str">
        <x:v>figma Saori Joumae</x:v>
      </x:c>
      <x:c r="L180" s="11" t="str">
        <x:v>未单独核对</x:v>
      </x:c>
      <x:c r="M180" s="11" t="str">
        <x:v>未披露</x:v>
      </x:c>
      <x:c r="N180" s="11" t="str">
        <x:v>本款官方产品页版本；再版与配色名称按原始商品名保留，不推断所有批次。</x:v>
      </x:c>
      <x:c r="O180" s="11" t="str">
        <x:v>高度 16.5 cm（官方本款规格的约全高；是否计入底座未单独说明）</x:v>
      </x:c>
      <x:c r="P180" s="11" t="str">
        <x:v>本款规格：无固定比例；高度 16.5 cm（官方本款规格的约全高；是否计入底座未单独说明）；材料：塑料；交付：涂装成品、计划商品。
版本与商品范围：原始商品名：figma Saori Joumae。作品／产品线：Blue Archive。官方页面标示出货月：2027-01；计划月份不作为已出货证明。
换件与适配：来源明确的操作：换脸。跨品牌接口、身体和衣物互换不从系列名称推断；具体限制应以本款产品页为准。</x:v>
      </x:c>
      <x:c r="Q180" s="11" t="str">
        <x:v>未取得产品对应证据</x:v>
      </x:c>
      <x:c r="R180" s="11" t="str">
        <x:v>2026-10-05</x:v>
      </x:c>
      <x:c r="S180" s="11" t="str">
        <x:v>gsc-figma-1137997</x:v>
      </x:c>
      <x:c r="T180" s="11" t="str">
        <x:v>https://www.goodsmile.com/en/product/1137997</x:v>
      </x:c>
    </x:row>
    <x:row r="181" ht="111" customHeight="1">
      <x:c r="A181" s="11" t="str">
        <x:v>figma Raging Wolf</x:v>
      </x:c>
      <x:c r="B181" s="11" t="str">
        <x:v>Max Factory</x:v>
      </x:c>
      <x:c r="C181" s="12" t="str">
        <x:v>关节可动</x:v>
      </x:c>
      <x:c r="D181" s="13" t="str">
        <x:v>涂装成品、计划商品</x:v>
      </x:c>
      <x:c r="E181" s="20" t="str">
        <x:v>无固定比例</x:v>
      </x:c>
      <x:c r="F181" s="21" t="n">
        <x:v>160</x:v>
      </x:c>
      <x:c r="G181" s="16" t="str">
        <x:v>官方本款规格的约全高；是否计入底座未单独说明</x:v>
      </x:c>
      <x:c r="H181" s="17" t="str">
        <x:v>未披露</x:v>
      </x:c>
      <x:c r="I181" s="18" t="str">
        <x:v>塑料</x:v>
      </x:c>
      <x:c r="J181" s="19" t="str">
        <x:v>角色人形</x:v>
      </x:c>
      <x:c r="K181" s="11" t="str">
        <x:v>figma Raging Wolf</x:v>
      </x:c>
      <x:c r="L181" s="11" t="str">
        <x:v>未单独核对</x:v>
      </x:c>
      <x:c r="M181" s="11" t="str">
        <x:v>未披露</x:v>
      </x:c>
      <x:c r="N181" s="11" t="str">
        <x:v>本款官方产品页版本；再版与配色名称按原始商品名保留，不推断所有批次。</x:v>
      </x:c>
      <x:c r="O181" s="11" t="str">
        <x:v>高度 16 cm（官方本款规格的约全高；是否计入底座未单独说明）</x:v>
      </x:c>
      <x:c r="P181" s="11" t="str">
        <x:v>本款规格：无固定比例；高度 16 cm（官方本款规格的约全高；是否计入底座未单独说明）；材料：塑料；交付：涂装成品、计划商品。
版本与商品范围：原始商品名：figma Raging Wolf。作品／产品线：ELDEN RING。官方页面标示出货月：2027-01；计划月份不作为已出货证明。
换件与适配：页面未明确布衣穿脱或跨产品换件范围。跨品牌接口、身体和衣物互换不从系列名称推断；具体限制应以本款产品页为准。</x:v>
      </x:c>
      <x:c r="Q181" s="11" t="str">
        <x:v>未取得产品对应证据</x:v>
      </x:c>
      <x:c r="R181" s="11" t="str">
        <x:v>2026-10-05</x:v>
      </x:c>
      <x:c r="S181" s="11" t="str">
        <x:v>gsc-figma-55941</x:v>
      </x:c>
      <x:c r="T181" s="11" t="str">
        <x:v>https://www.goodsmile.com/en/product/55941</x:v>
      </x:c>
    </x:row>
    <x:row r="182" ht="111" customHeight="1">
      <x:c r="A182" s="11" t="str">
        <x:v>figma Lancer/Scáthach</x:v>
      </x:c>
      <x:c r="B182" s="11" t="str">
        <x:v>Max Factory</x:v>
      </x:c>
      <x:c r="C182" s="12" t="str">
        <x:v>关节可动</x:v>
      </x:c>
      <x:c r="D182" s="13" t="str">
        <x:v>涂装成品、计划商品</x:v>
      </x:c>
      <x:c r="E182" s="20" t="str">
        <x:v>无固定比例</x:v>
      </x:c>
      <x:c r="F182" s="21" t="n">
        <x:v>145</x:v>
      </x:c>
      <x:c r="G182" s="16" t="str">
        <x:v>官方本款规格的约全高；是否计入底座未单独说明</x:v>
      </x:c>
      <x:c r="H182" s="17" t="str">
        <x:v>换脸</x:v>
      </x:c>
      <x:c r="I182" s="18" t="str">
        <x:v>PVC、ABS</x:v>
      </x:c>
      <x:c r="J182" s="19" t="str">
        <x:v>角色人形</x:v>
      </x:c>
      <x:c r="K182" s="11" t="str">
        <x:v>figma Lancer/Scáthach</x:v>
      </x:c>
      <x:c r="L182" s="11" t="str">
        <x:v>未单独核对</x:v>
      </x:c>
      <x:c r="M182" s="11" t="str">
        <x:v>未披露</x:v>
      </x:c>
      <x:c r="N182" s="11" t="str">
        <x:v>本款官方产品页版本；再版与配色名称按原始商品名保留，不推断所有批次。</x:v>
      </x:c>
      <x:c r="O182" s="11" t="str">
        <x:v>高度 14.5 cm（官方本款规格的约全高；是否计入底座未单独说明）</x:v>
      </x:c>
      <x:c r="P182" s="11" t="str">
        <x:v>本款规格：无固定比例；高度 14.5 cm（官方本款规格的约全高；是否计入底座未单独说明）；材料：PVC、ABS；交付：涂装成品、计划商品。
版本与商品范围：原始商品名：figma Lancer/Scáthach。作品／产品线：Fate/Grand Order。官方页面标示出货月：2026-12；计划月份不作为已出货证明。
换件与适配：来源明确的操作：换脸。跨品牌接口、身体和衣物互换不从系列名称推断；具体限制应以本款产品页为准。</x:v>
      </x:c>
      <x:c r="Q182" s="11" t="str">
        <x:v>未取得产品对应证据</x:v>
      </x:c>
      <x:c r="R182" s="11" t="str">
        <x:v>2026-10-05</x:v>
      </x:c>
      <x:c r="S182" s="11" t="str">
        <x:v>gsc-figma-4722</x:v>
      </x:c>
      <x:c r="T182" s="11" t="str">
        <x:v>https://www.goodsmile.com/en/product/4722</x:v>
      </x:c>
    </x:row>
    <x:row r="183" ht="111" customHeight="1">
      <x:c r="A183" s="11" t="str">
        <x:v>figma Pomni</x:v>
      </x:c>
      <x:c r="B183" s="11" t="str">
        <x:v>FREEing</x:v>
      </x:c>
      <x:c r="C183" s="12" t="str">
        <x:v>关节可动</x:v>
      </x:c>
      <x:c r="D183" s="13" t="str">
        <x:v>涂装成品、计划商品</x:v>
      </x:c>
      <x:c r="E183" s="20" t="str">
        <x:v>无固定比例</x:v>
      </x:c>
      <x:c r="F183" s="21" t="n">
        <x:v>140</x:v>
      </x:c>
      <x:c r="G183" s="16" t="str">
        <x:v>官方本款规格的约全高；是否计入底座未单独说明</x:v>
      </x:c>
      <x:c r="H183" s="17" t="str">
        <x:v>换脸</x:v>
      </x:c>
      <x:c r="I183" s="18" t="str">
        <x:v>磁铁、塑料</x:v>
      </x:c>
      <x:c r="J183" s="19" t="str">
        <x:v>角色人形</x:v>
      </x:c>
      <x:c r="K183" s="11" t="str">
        <x:v>figma Pomni</x:v>
      </x:c>
      <x:c r="L183" s="11" t="str">
        <x:v>未单独核对</x:v>
      </x:c>
      <x:c r="M183" s="11" t="str">
        <x:v>未披露</x:v>
      </x:c>
      <x:c r="N183" s="11" t="str">
        <x:v>本款官方产品页版本；再版与配色名称按原始商品名保留，不推断所有批次。</x:v>
      </x:c>
      <x:c r="O183" s="11" t="str">
        <x:v>高度 14 cm（官方本款规格的约全高；是否计入底座未单独说明）</x:v>
      </x:c>
      <x:c r="P183" s="11" t="str">
        <x:v>本款规格：无固定比例；高度 14 cm（官方本款规格的约全高；是否计入底座未单独说明）；材料：磁铁、塑料；交付：涂装成品、计划商品。
版本与商品范围：原始商品名：figma Pomni。作品／产品线：The Amazing Digital Circus。官方页面标示出货月：2026-12；计划月份不作为已出货证明。
换件与适配：来源明确的操作：换脸。跨品牌接口、身体和衣物互换不从系列名称推断；具体限制应以本款产品页为准。</x:v>
      </x:c>
      <x:c r="Q183" s="11" t="str">
        <x:v>未取得产品对应证据</x:v>
      </x:c>
      <x:c r="R183" s="11" t="str">
        <x:v>2026-10-05</x:v>
      </x:c>
      <x:c r="S183" s="11" t="str">
        <x:v>gsc-figma-1144248</x:v>
      </x:c>
      <x:c r="T183" s="11" t="str">
        <x:v>https://www.goodsmile.com/en/product/1144248</x:v>
      </x:c>
    </x:row>
    <x:row r="184" ht="111" customHeight="1">
      <x:c r="A184" s="11" t="str">
        <x:v>figma Tololo</x:v>
      </x:c>
      <x:c r="B184" s="11" t="str">
        <x:v>Max Factory</x:v>
      </x:c>
      <x:c r="C184" s="12" t="str">
        <x:v>关节可动</x:v>
      </x:c>
      <x:c r="D184" s="13" t="str">
        <x:v>涂装成品、计划商品</x:v>
      </x:c>
      <x:c r="E184" s="20" t="str">
        <x:v>无固定比例</x:v>
      </x:c>
      <x:c r="F184" s="21" t="n">
        <x:v>154</x:v>
      </x:c>
      <x:c r="G184" s="16" t="str">
        <x:v>官方本款规格的约全高；是否计入底座未单独说明</x:v>
      </x:c>
      <x:c r="H184" s="17" t="str">
        <x:v>换脸</x:v>
      </x:c>
      <x:c r="I184" s="18" t="str">
        <x:v>塑料</x:v>
      </x:c>
      <x:c r="J184" s="19" t="str">
        <x:v>角色人形</x:v>
      </x:c>
      <x:c r="K184" s="11" t="str">
        <x:v>figma Tololo</x:v>
      </x:c>
      <x:c r="L184" s="11" t="str">
        <x:v>未单独核对</x:v>
      </x:c>
      <x:c r="M184" s="11" t="str">
        <x:v>未披露</x:v>
      </x:c>
      <x:c r="N184" s="11" t="str">
        <x:v>本款官方产品页版本；再版与配色名称按原始商品名保留，不推断所有批次。</x:v>
      </x:c>
      <x:c r="O184" s="11" t="str">
        <x:v>高度 15.4 cm（官方本款规格的约全高；是否计入底座未单独说明）</x:v>
      </x:c>
      <x:c r="P184" s="11" t="str">
        <x:v>本款规格：无固定比例；高度 15.4 cm（官方本款规格的约全高；是否计入底座未单独说明）；材料：塑料；交付：涂装成品、计划商品。
版本与商品范围：原始商品名：figma Tololo。作品／产品线：Girls' Frontline 2: Exilium。官方页面标示出货月：2027-02；计划月份不作为已出货证明。
换件与适配：来源明确的操作：换脸。跨品牌接口、身体和衣物互换不从系列名称推断；具体限制应以本款产品页为准。</x:v>
      </x:c>
      <x:c r="Q184" s="11" t="str">
        <x:v>未取得产品对应证据</x:v>
      </x:c>
      <x:c r="R184" s="11" t="str">
        <x:v>2026-10-05</x:v>
      </x:c>
      <x:c r="S184" s="11" t="str">
        <x:v>gsc-figma-1142689</x:v>
      </x:c>
      <x:c r="T184" s="11" t="str">
        <x:v>https://www.goodsmile.com/en/product/1142689</x:v>
      </x:c>
    </x:row>
    <x:row r="185" ht="111" customHeight="1">
      <x:c r="A185" s="11" t="str">
        <x:v>POP UP PARADE Louise L Size</x:v>
      </x:c>
      <x:c r="B185" s="11" t="str">
        <x:v>Good Smile Company</x:v>
      </x:c>
      <x:c r="C185" s="12" t="str">
        <x:v>固定姿势</x:v>
      </x:c>
      <x:c r="D185" s="13" t="str">
        <x:v>涂装成品、计划商品</x:v>
      </x:c>
      <x:c r="E185" s="20" t="str">
        <x:v>无固定比例</x:v>
      </x:c>
      <x:c r="F185" s="21" t="n">
        <x:v>220</x:v>
      </x:c>
      <x:c r="G185" s="16" t="str">
        <x:v>官方本款规格的约全高；是否计入底座未单独说明</x:v>
      </x:c>
      <x:c r="H185" s="17" t="str">
        <x:v>未披露</x:v>
      </x:c>
      <x:c r="I185" s="18" t="str">
        <x:v>塑料</x:v>
      </x:c>
      <x:c r="J185" s="19" t="str">
        <x:v>静态手办</x:v>
      </x:c>
      <x:c r="K185" s="11" t="str">
        <x:v>POP UP PARADE Louise L Size</x:v>
      </x:c>
      <x:c r="L185" s="11" t="str">
        <x:v>未单独核对</x:v>
      </x:c>
      <x:c r="M185" s="11" t="str">
        <x:v>未披露</x:v>
      </x:c>
      <x:c r="N185" s="11" t="str">
        <x:v>本款官方产品页版本；再版与配色名称按原始商品名保留，不推断所有批次。</x:v>
      </x:c>
      <x:c r="O185" s="11" t="str">
        <x:v>高度 22 cm（官方本款规格的约全高；是否计入底座未单独说明）</x:v>
      </x:c>
      <x:c r="P185" s="11" t="str">
        <x:v>本款规格：无固定比例；高度 22 cm（官方本款规格的约全高；是否计入底座未单独说明）；材料：塑料；交付：涂装成品、计划商品。
版本与商品范围：原始商品名：POP UP PARADE Louise L Size。作品／产品线：Zero no Tsukaima F。官方页面标示出货月：2027-05；计划月份不作为已出货证明。
换件与适配：页面未明确布衣穿脱或跨产品换件范围。跨品牌接口、身体和衣物互换不从系列名称推断；具体限制应以本款产品页为准。</x:v>
      </x:c>
      <x:c r="Q185" s="11" t="str">
        <x:v>未取得产品对应证据</x:v>
      </x:c>
      <x:c r="R185" s="11" t="str">
        <x:v>2026-10-05</x:v>
      </x:c>
      <x:c r="S185" s="11" t="str">
        <x:v>gsc-pop-1141520</x:v>
      </x:c>
      <x:c r="T185" s="11" t="str">
        <x:v>https://www.goodsmile.com/en/product/1141520</x:v>
      </x:c>
    </x:row>
    <x:row r="186" ht="111" customHeight="1">
      <x:c r="A186" s="11" t="str">
        <x:v>POP UP PARADE lain iwakura L Size</x:v>
      </x:c>
      <x:c r="B186" s="11" t="str">
        <x:v>Good Smile Company</x:v>
      </x:c>
      <x:c r="C186" s="12" t="str">
        <x:v>固定姿势</x:v>
      </x:c>
      <x:c r="D186" s="13" t="str">
        <x:v>涂装成品、计划商品</x:v>
      </x:c>
      <x:c r="E186" s="20" t="str">
        <x:v>无固定比例</x:v>
      </x:c>
      <x:c r="F186" s="21" t="n">
        <x:v>230</x:v>
      </x:c>
      <x:c r="G186" s="16" t="str">
        <x:v>官方本款规格的约全高；是否计入底座未单独说明</x:v>
      </x:c>
      <x:c r="H186" s="17" t="str">
        <x:v>未披露</x:v>
      </x:c>
      <x:c r="I186" s="18" t="str">
        <x:v>塑料</x:v>
      </x:c>
      <x:c r="J186" s="19" t="str">
        <x:v>静态手办</x:v>
      </x:c>
      <x:c r="K186" s="11" t="str">
        <x:v>POP UP PARADE lain iwakura L Size</x:v>
      </x:c>
      <x:c r="L186" s="11" t="str">
        <x:v>未单独核对</x:v>
      </x:c>
      <x:c r="M186" s="11" t="str">
        <x:v>未披露</x:v>
      </x:c>
      <x:c r="N186" s="11" t="str">
        <x:v>本款官方产品页版本；再版与配色名称按原始商品名保留，不推断所有批次。</x:v>
      </x:c>
      <x:c r="O186" s="11" t="str">
        <x:v>高度 23 cm（官方本款规格的约全高；是否计入底座未单独说明）</x:v>
      </x:c>
      <x:c r="P186" s="11" t="str">
        <x:v>本款规格：无固定比例；高度 23 cm（官方本款规格的约全高；是否计入底座未单独说明）；材料：塑料；交付：涂装成品、计划商品。
版本与商品范围：原始商品名：POP UP PARADE lain iwakura L Size。作品／产品线：serial experiments lain。官方页面标示出货月：2027-03；计划月份不作为已出货证明。
换件与适配：页面未明确布衣穿脱或跨产品换件范围。跨品牌接口、身体和衣物互换不从系列名称推断；具体限制应以本款产品页为准。</x:v>
      </x:c>
      <x:c r="Q186" s="11" t="str">
        <x:v>未取得产品对应证据</x:v>
      </x:c>
      <x:c r="R186" s="11" t="str">
        <x:v>2026-10-05</x:v>
      </x:c>
      <x:c r="S186" s="11" t="str">
        <x:v>gsc-pop-1137445</x:v>
      </x:c>
      <x:c r="T186" s="11" t="str">
        <x:v>https://www.goodsmile.com/en/product/1137445</x:v>
      </x:c>
    </x:row>
    <x:row r="187" ht="126" customHeight="1">
      <x:c r="A187" s="11" t="str">
        <x:v>POP UP PARADE 初音未来: DecoMiku (Lightness) L Size</x:v>
      </x:c>
      <x:c r="B187" s="11" t="str">
        <x:v>Good Smile Company</x:v>
      </x:c>
      <x:c r="C187" s="12" t="str">
        <x:v>固定姿势</x:v>
      </x:c>
      <x:c r="D187" s="13" t="str">
        <x:v>涂装成品、计划商品</x:v>
      </x:c>
      <x:c r="E187" s="20" t="str">
        <x:v>无固定比例</x:v>
      </x:c>
      <x:c r="F187" s="21" t="n">
        <x:v>230</x:v>
      </x:c>
      <x:c r="G187" s="16" t="str">
        <x:v>官方本款规格的约全高；是否计入底座未单独说明</x:v>
      </x:c>
      <x:c r="H187" s="17" t="str">
        <x:v>未披露</x:v>
      </x:c>
      <x:c r="I187" s="18" t="str">
        <x:v>塑料</x:v>
      </x:c>
      <x:c r="J187" s="19" t="str">
        <x:v>静态手办</x:v>
      </x:c>
      <x:c r="K187" s="11" t="str">
        <x:v>POP UP PARADE Hatsune Miku: DecoMiku (Lightness) L Size</x:v>
      </x:c>
      <x:c r="L187" s="11" t="str">
        <x:v>未单独核对</x:v>
      </x:c>
      <x:c r="M187" s="11" t="str">
        <x:v>未披露</x:v>
      </x:c>
      <x:c r="N187" s="11" t="str">
        <x:v>本款官方产品页版本；再版与配色名称按原始商品名保留，不推断所有批次。</x:v>
      </x:c>
      <x:c r="O187" s="11" t="str">
        <x:v>高度 23 cm（官方本款规格的约全高；是否计入底座未单独说明）</x:v>
      </x:c>
      <x:c r="P187" s="11" t="str">
        <x:v>本款规格：无固定比例；高度 23 cm（官方本款规格的约全高；是否计入底座未单独说明）；材料：塑料；交付：涂装成品、计划商品。
版本与商品范围：原始商品名：POP UP PARADE Hatsune Miku: DecoMiku (Lightness) L Size。作品／产品线：Character Vocal Series 01: Hatsune Miku。官方页面标示出货月：2027-04；计划月份不作为已出货证明。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87" s="11" t="str">
        <x:v>未取得产品对应证据</x:v>
      </x:c>
      <x:c r="R187" s="11" t="str">
        <x:v>2026-10-05</x:v>
      </x:c>
      <x:c r="S187" s="11" t="str">
        <x:v>gsc-pop-1141247</x:v>
      </x:c>
      <x:c r="T187" s="11" t="str">
        <x:v>https://www.goodsmile.com/en/product/1141247</x:v>
      </x:c>
    </x:row>
    <x:row r="188" ht="126" customHeight="1">
      <x:c r="A188" s="11" t="str">
        <x:v>POP UP PARADE 初音未来: DecoMiku (Darkness) L Size</x:v>
      </x:c>
      <x:c r="B188" s="11" t="str">
        <x:v>Good Smile Company</x:v>
      </x:c>
      <x:c r="C188" s="12" t="str">
        <x:v>固定姿势</x:v>
      </x:c>
      <x:c r="D188" s="13" t="str">
        <x:v>涂装成品、计划商品</x:v>
      </x:c>
      <x:c r="E188" s="20" t="str">
        <x:v>无固定比例</x:v>
      </x:c>
      <x:c r="F188" s="21" t="n">
        <x:v>220</x:v>
      </x:c>
      <x:c r="G188" s="16" t="str">
        <x:v>官方本款规格的约全高；是否计入底座未单独说明</x:v>
      </x:c>
      <x:c r="H188" s="17" t="str">
        <x:v>未披露</x:v>
      </x:c>
      <x:c r="I188" s="18" t="str">
        <x:v>塑料</x:v>
      </x:c>
      <x:c r="J188" s="19" t="str">
        <x:v>静态手办</x:v>
      </x:c>
      <x:c r="K188" s="11" t="str">
        <x:v>POP UP PARADE Hatsune Miku: DecoMiku (Darkness) L Size</x:v>
      </x:c>
      <x:c r="L188" s="11" t="str">
        <x:v>未单独核对</x:v>
      </x:c>
      <x:c r="M188" s="11" t="str">
        <x:v>未披露</x:v>
      </x:c>
      <x:c r="N188" s="11" t="str">
        <x:v>本款官方产品页版本；再版与配色名称按原始商品名保留，不推断所有批次。</x:v>
      </x:c>
      <x:c r="O188" s="11" t="str">
        <x:v>高度 22 cm（官方本款规格的约全高；是否计入底座未单独说明）</x:v>
      </x:c>
      <x:c r="P188" s="11" t="str">
        <x:v>本款规格：无固定比例；高度 22 cm（官方本款规格的约全高；是否计入底座未单独说明）；材料：塑料；交付：涂装成品、计划商品。
版本与商品范围：原始商品名：POP UP PARADE Hatsune Miku: DecoMiku (Darkness) L Size。作品／产品线：Character Vocal Series 01: Hatsune Miku。官方页面标示出货月：2027-04；计划月份不作为已出货证明。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88" s="11" t="str">
        <x:v>未取得产品对应证据</x:v>
      </x:c>
      <x:c r="R188" s="11" t="str">
        <x:v>2026-10-05</x:v>
      </x:c>
      <x:c r="S188" s="11" t="str">
        <x:v>gsc-pop-1141248</x:v>
      </x:c>
      <x:c r="T188" s="11" t="str">
        <x:v>https://www.goodsmile.com/en/product/1141248</x:v>
      </x:c>
    </x:row>
    <x:row r="189" ht="111" customHeight="1">
      <x:c r="A189" s="11" t="str">
        <x:v>POP UP PARADE Kasane Teto: Synthesizer V AI Ver. L Size</x:v>
      </x:c>
      <x:c r="B189" s="11" t="str">
        <x:v>Good Smile Company</x:v>
      </x:c>
      <x:c r="C189" s="12" t="str">
        <x:v>固定姿势</x:v>
      </x:c>
      <x:c r="D189" s="13" t="str">
        <x:v>涂装成品、计划商品</x:v>
      </x:c>
      <x:c r="E189" s="20" t="str">
        <x:v>无固定比例</x:v>
      </x:c>
      <x:c r="F189" s="21" t="n">
        <x:v>220</x:v>
      </x:c>
      <x:c r="G189" s="16" t="str">
        <x:v>官方本款规格的约全高；是否计入底座未单独说明</x:v>
      </x:c>
      <x:c r="H189" s="17" t="str">
        <x:v>未披露</x:v>
      </x:c>
      <x:c r="I189" s="18" t="str">
        <x:v>塑料</x:v>
      </x:c>
      <x:c r="J189" s="19" t="str">
        <x:v>静态手办</x:v>
      </x:c>
      <x:c r="K189" s="11" t="str">
        <x:v>POP UP PARADE Kasane Teto: Synthesizer V AI Ver. L Size</x:v>
      </x:c>
      <x:c r="L189" s="11" t="str">
        <x:v>未单独核对</x:v>
      </x:c>
      <x:c r="M189" s="11" t="str">
        <x:v>未披露</x:v>
      </x:c>
      <x:c r="N189" s="11" t="str">
        <x:v>本款官方产品页版本；再版与配色名称按原始商品名保留，不推断所有批次。</x:v>
      </x:c>
      <x:c r="O189" s="11" t="str">
        <x:v>高度 22 cm（官方本款规格的约全高；是否计入底座未单独说明）</x:v>
      </x:c>
      <x:c r="P189" s="11" t="str">
        <x:v>本款规格：无固定比例；高度 22 cm（官方本款规格的约全高；是否计入底座未单独说明）；材料：塑料；交付：涂装成品、计划商品。
版本与商品范围：原始商品名：POP UP PARADE Kasane Teto: Synthesizer V AI Ver. L Size。作品／产品线：Kasane Teto。官方页面标示出货月：2027-04；计划月份不作为已出货证明。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89" s="11" t="str">
        <x:v>未取得产品对应证据</x:v>
      </x:c>
      <x:c r="R189" s="11" t="str">
        <x:v>2026-10-05</x:v>
      </x:c>
      <x:c r="S189" s="11" t="str">
        <x:v>gsc-pop-1144430</x:v>
      </x:c>
      <x:c r="T189" s="11" t="str">
        <x:v>https://www.goodsmile.com/en/product/1144430</x:v>
      </x:c>
    </x:row>
    <x:row r="190" ht="111" customHeight="1">
      <x:c r="A190" s="11" t="str">
        <x:v>POP UP PARADE Swacchao! Rikka Takarada: Pajamas Ver. XL Size</x:v>
      </x:c>
      <x:c r="B190" s="11" t="str">
        <x:v>Good Smile Company</x:v>
      </x:c>
      <x:c r="C190" s="12" t="str">
        <x:v>固定姿势</x:v>
      </x:c>
      <x:c r="D190" s="13" t="str">
        <x:v>涂装成品、计划商品</x:v>
      </x:c>
      <x:c r="E190" s="20" t="str">
        <x:v>无固定比例</x:v>
      </x:c>
      <x:c r="F190" s="21" t="n">
        <x:v>200</x:v>
      </x:c>
      <x:c r="G190" s="16" t="str">
        <x:v>官方本款规格的约全高；是否计入底座未单独说明</x:v>
      </x:c>
      <x:c r="H190" s="17" t="str">
        <x:v>未披露</x:v>
      </x:c>
      <x:c r="I190" s="18" t="str">
        <x:v>塑料</x:v>
      </x:c>
      <x:c r="J190" s="19" t="str">
        <x:v>静态手办</x:v>
      </x:c>
      <x:c r="K190" s="11" t="str">
        <x:v>POP UP PARADE Swacchao! Rikka Takarada: Pajamas Ver. XL Size</x:v>
      </x:c>
      <x:c r="L190" s="11" t="str">
        <x:v>未单独核对</x:v>
      </x:c>
      <x:c r="M190" s="11" t="str">
        <x:v>未披露</x:v>
      </x:c>
      <x:c r="N190" s="11" t="str">
        <x:v>本款官方产品页版本；再版与配色名称按原始商品名保留，不推断所有批次。</x:v>
      </x:c>
      <x:c r="O190" s="11" t="str">
        <x:v>高度 20 cm（官方本款规格的约全高；是否计入底座未单独说明）</x:v>
      </x:c>
      <x:c r="P190" s="11" t="str">
        <x:v>本款规格：无固定比例；高度 20 cm（官方本款规格的约全高；是否计入底座未单独说明）；材料：塑料；交付：涂装成品、计划商品。
版本与商品范围：原始商品名：POP UP PARADE Swacchao! Rikka Takarada: Pajamas Ver. XL Size。作品／产品线：GRIDMAN UNIVERSE。官方页面标示出货月：2027-05；计划月份不作为已出货证明。
换件与适配：页面未明确布衣穿脱或跨产品换件范围。跨品牌接口、身体和衣物互换不从系列名称推断；具体限制应以本款产品页为准。</x:v>
      </x:c>
      <x:c r="Q190" s="11" t="str">
        <x:v>未取得产品对应证据</x:v>
      </x:c>
      <x:c r="R190" s="11" t="str">
        <x:v>2026-10-05</x:v>
      </x:c>
      <x:c r="S190" s="11" t="str">
        <x:v>gsc-pop-1144464</x:v>
      </x:c>
      <x:c r="T190" s="11" t="str">
        <x:v>https://www.goodsmile.com/en/product/1144464</x:v>
      </x:c>
    </x:row>
    <x:row r="191" ht="111" customHeight="1">
      <x:c r="A191" s="11" t="str">
        <x:v>POP UP PARADE Petite Speaki</x:v>
      </x:c>
      <x:c r="B191" s="11" t="str">
        <x:v>Good Smile Company</x:v>
      </x:c>
      <x:c r="C191" s="12" t="str">
        <x:v>固定姿势</x:v>
      </x:c>
      <x:c r="D191" s="13" t="str">
        <x:v>涂装成品、计划商品</x:v>
      </x:c>
      <x:c r="E191" s="20" t="str">
        <x:v>无固定比例</x:v>
      </x:c>
      <x:c r="F191" s="21" t="n">
        <x:v>80</x:v>
      </x:c>
      <x:c r="G191" s="16" t="str">
        <x:v>官方本款规格的约全高；是否计入底座未单独说明</x:v>
      </x:c>
      <x:c r="H191" s="17" t="str">
        <x:v>未披露</x:v>
      </x:c>
      <x:c r="I191" s="18" t="str">
        <x:v>塑料</x:v>
      </x:c>
      <x:c r="J191" s="19" t="str">
        <x:v>静态手办</x:v>
      </x:c>
      <x:c r="K191" s="11" t="str">
        <x:v>POP UP PARADE Petite Speaki</x:v>
      </x:c>
      <x:c r="L191" s="11" t="str">
        <x:v>未单独核对</x:v>
      </x:c>
      <x:c r="M191" s="11" t="str">
        <x:v>未披露</x:v>
      </x:c>
      <x:c r="N191" s="11" t="str">
        <x:v>本款官方产品页版本；再版与配色名称按原始商品名保留，不推断所有批次。</x:v>
      </x:c>
      <x:c r="O191" s="11" t="str">
        <x:v>高度 8 cm（官方本款规格的约全高；是否计入底座未单独说明）</x:v>
      </x:c>
      <x:c r="P191" s="11" t="str">
        <x:v>本款规格：无固定比例；高度 8 cm（官方本款规格的约全高；是否计入底座未单独说明）；材料：塑料；交付：涂装成品、计划商品。
版本与商品范围：原始商品名：POP UP PARADE Petite Speaki。作品／产品线：Trickcal:Chibi Go。官方页面标示出货月：2027-04；计划月份不作为已出货证明。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91" s="11" t="str">
        <x:v>未取得产品对应证据</x:v>
      </x:c>
      <x:c r="R191" s="11" t="str">
        <x:v>2026-10-05</x:v>
      </x:c>
      <x:c r="S191" s="11" t="str">
        <x:v>gsc-pop-1144852</x:v>
      </x:c>
      <x:c r="T191" s="11" t="str">
        <x:v>https://www.goodsmile.com/en/product/1144852</x:v>
      </x:c>
    </x:row>
    <x:row r="192" ht="111" customHeight="1">
      <x:c r="A192" s="11" t="str">
        <x:v>POP UP PARADE Loona L Size</x:v>
      </x:c>
      <x:c r="B192" s="11" t="str">
        <x:v>Good Smile Company</x:v>
      </x:c>
      <x:c r="C192" s="12" t="str">
        <x:v>固定姿势</x:v>
      </x:c>
      <x:c r="D192" s="13" t="str">
        <x:v>涂装成品、计划商品</x:v>
      </x:c>
      <x:c r="E192" s="20" t="str">
        <x:v>无固定比例</x:v>
      </x:c>
      <x:c r="F192" s="21" t="n">
        <x:v>220</x:v>
      </x:c>
      <x:c r="G192" s="16" t="str">
        <x:v>官方本款规格的约全高；是否计入底座未单独说明</x:v>
      </x:c>
      <x:c r="H192" s="17" t="str">
        <x:v>未披露</x:v>
      </x:c>
      <x:c r="I192" s="18" t="str">
        <x:v>塑料</x:v>
      </x:c>
      <x:c r="J192" s="19" t="str">
        <x:v>静态手办</x:v>
      </x:c>
      <x:c r="K192" s="11" t="str">
        <x:v>POP UP PARADE Loona L Size</x:v>
      </x:c>
      <x:c r="L192" s="11" t="str">
        <x:v>未单独核对</x:v>
      </x:c>
      <x:c r="M192" s="11" t="str">
        <x:v>未披露</x:v>
      </x:c>
      <x:c r="N192" s="11" t="str">
        <x:v>本款官方产品页版本；再版与配色名称按原始商品名保留，不推断所有批次。</x:v>
      </x:c>
      <x:c r="O192" s="11" t="str">
        <x:v>高度 22 cm（官方本款规格的约全高；是否计入底座未单独说明）</x:v>
      </x:c>
      <x:c r="P192" s="11" t="str">
        <x:v>本款规格：无固定比例；高度 22 cm（官方本款规格的约全高；是否计入底座未单独说明）；材料：塑料；交付：涂装成品、计划商品。
版本与商品范围：原始商品名：POP UP PARADE Loona L Size。作品／产品线：Helluva Boss。官方页面标示出货月：2027-04；计划月份不作为已出货证明。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92" s="11" t="str">
        <x:v>未取得产品对应证据</x:v>
      </x:c>
      <x:c r="R192" s="11" t="str">
        <x:v>2026-10-05</x:v>
      </x:c>
      <x:c r="S192" s="11" t="str">
        <x:v>gsc-pop-1144959</x:v>
      </x:c>
      <x:c r="T192" s="11" t="str">
        <x:v>https://www.goodsmile.com/en/product/1144959</x:v>
      </x:c>
    </x:row>
    <x:row r="193" ht="111" customHeight="1">
      <x:c r="A193" s="11" t="str">
        <x:v>POP UP PARADE SP Mihono Bourbon</x:v>
      </x:c>
      <x:c r="B193" s="11" t="str">
        <x:v>Good Smile Company</x:v>
      </x:c>
      <x:c r="C193" s="12" t="str">
        <x:v>固定姿势</x:v>
      </x:c>
      <x:c r="D193" s="13" t="str">
        <x:v>涂装成品、计划商品</x:v>
      </x:c>
      <x:c r="E193" s="20" t="str">
        <x:v>无固定比例</x:v>
      </x:c>
      <x:c r="F193" s="21" t="n">
        <x:v>250</x:v>
      </x:c>
      <x:c r="G193" s="16" t="str">
        <x:v>官方本款规格的约全高；是否计入底座未单独说明</x:v>
      </x:c>
      <x:c r="H193" s="17" t="str">
        <x:v>未披露</x:v>
      </x:c>
      <x:c r="I193" s="18" t="str">
        <x:v>塑料</x:v>
      </x:c>
      <x:c r="J193" s="19" t="str">
        <x:v>静态手办</x:v>
      </x:c>
      <x:c r="K193" s="11" t="str">
        <x:v>POP UP PARADE SP Mihono Bourbon</x:v>
      </x:c>
      <x:c r="L193" s="11" t="str">
        <x:v>未单独核对</x:v>
      </x:c>
      <x:c r="M193" s="11" t="str">
        <x:v>未披露</x:v>
      </x:c>
      <x:c r="N193" s="11" t="str">
        <x:v>本款官方产品页版本；再版与配色名称按原始商品名保留，不推断所有批次。</x:v>
      </x:c>
      <x:c r="O193" s="11" t="str">
        <x:v>高度 25 cm（官方本款规格的约全高；是否计入底座未单独说明）</x:v>
      </x:c>
      <x:c r="P193" s="11" t="str">
        <x:v>本款规格：无固定比例；高度 25 cm（官方本款规格的约全高；是否计入底座未单独说明）；材料：塑料；交付：涂装成品、计划商品。
版本与商品范围：原始商品名：POP UP PARADE SP Mihono Bourbon。作品／产品线：Umamusume: Pretty Derby。官方页面标示出货月：2027-04；计划月份不作为已出货证明。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93" s="11" t="str">
        <x:v>未取得产品对应证据</x:v>
      </x:c>
      <x:c r="R193" s="11" t="str">
        <x:v>2026-10-05</x:v>
      </x:c>
      <x:c r="S193" s="11" t="str">
        <x:v>gsc-pop-1136847</x:v>
      </x:c>
      <x:c r="T193" s="11" t="str">
        <x:v>https://www.goodsmile.com/en/product/1136847</x:v>
      </x:c>
    </x:row>
    <x:row r="194" ht="111" customHeight="1">
      <x:c r="A194" s="11" t="str">
        <x:v>POP UP PARADE SP Jett</x:v>
      </x:c>
      <x:c r="B194" s="11" t="str">
        <x:v>Good Smile Company</x:v>
      </x:c>
      <x:c r="C194" s="12" t="str">
        <x:v>固定姿势</x:v>
      </x:c>
      <x:c r="D194" s="13" t="str">
        <x:v>涂装成品、计划商品</x:v>
      </x:c>
      <x:c r="E194" s="20" t="str">
        <x:v>无固定比例</x:v>
      </x:c>
      <x:c r="F194" s="21" t="n">
        <x:v>220</x:v>
      </x:c>
      <x:c r="G194" s="16" t="str">
        <x:v>官方本款规格的约全高；是否计入底座未单独说明</x:v>
      </x:c>
      <x:c r="H194" s="17" t="str">
        <x:v>未披露</x:v>
      </x:c>
      <x:c r="I194" s="18" t="str">
        <x:v>塑料</x:v>
      </x:c>
      <x:c r="J194" s="19" t="str">
        <x:v>静态手办</x:v>
      </x:c>
      <x:c r="K194" s="11" t="str">
        <x:v>POP UP PARADE SP Jett</x:v>
      </x:c>
      <x:c r="L194" s="11" t="str">
        <x:v>未单独核对</x:v>
      </x:c>
      <x:c r="M194" s="11" t="str">
        <x:v>未披露</x:v>
      </x:c>
      <x:c r="N194" s="11" t="str">
        <x:v>本款官方产品页版本；再版与配色名称按原始商品名保留，不推断所有批次。</x:v>
      </x:c>
      <x:c r="O194" s="11" t="str">
        <x:v>高度 22 cm（官方本款规格的约全高；是否计入底座未单独说明）</x:v>
      </x:c>
      <x:c r="P194" s="11" t="str">
        <x:v>本款规格：无固定比例；高度 22 cm（官方本款规格的约全高；是否计入底座未单独说明）；材料：塑料；交付：涂装成品、计划商品。
版本与商品范围：原始商品名：POP UP PARADE SP Jett。作品／产品线：VALORANT。官方页面标示出货月：2027-04；计划月份不作为已出货证明。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94" s="11" t="str">
        <x:v>未取得产品对应证据</x:v>
      </x:c>
      <x:c r="R194" s="11" t="str">
        <x:v>2026-10-05</x:v>
      </x:c>
      <x:c r="S194" s="11" t="str">
        <x:v>gsc-pop-1141572</x:v>
      </x:c>
      <x:c r="T194" s="11" t="str">
        <x:v>https://www.goodsmile.com/en/product/1141572</x:v>
      </x:c>
    </x:row>
    <x:row r="195" ht="111" customHeight="1">
      <x:c r="A195" s="11" t="str">
        <x:v>POP UP PARADE Lucy L Size</x:v>
      </x:c>
      <x:c r="B195" s="11" t="str">
        <x:v>Good Smile Company</x:v>
      </x:c>
      <x:c r="C195" s="12" t="str">
        <x:v>固定姿势</x:v>
      </x:c>
      <x:c r="D195" s="13" t="str">
        <x:v>涂装成品、计划商品</x:v>
      </x:c>
      <x:c r="E195" s="20" t="str">
        <x:v>无固定比例</x:v>
      </x:c>
      <x:c r="F195" s="21" t="n">
        <x:v>225</x:v>
      </x:c>
      <x:c r="G195" s="16" t="str">
        <x:v>官方本款规格的约全高；是否计入底座未单独说明</x:v>
      </x:c>
      <x:c r="H195" s="17" t="str">
        <x:v>未披露</x:v>
      </x:c>
      <x:c r="I195" s="18" t="str">
        <x:v>塑料</x:v>
      </x:c>
      <x:c r="J195" s="19" t="str">
        <x:v>静态手办</x:v>
      </x:c>
      <x:c r="K195" s="11" t="str">
        <x:v>POP UP PARADE Lucy L Size</x:v>
      </x:c>
      <x:c r="L195" s="11" t="str">
        <x:v>未单独核对</x:v>
      </x:c>
      <x:c r="M195" s="11" t="str">
        <x:v>未披露</x:v>
      </x:c>
      <x:c r="N195" s="11" t="str">
        <x:v>本款官方产品页版本；再版与配色名称按原始商品名保留，不推断所有批次。</x:v>
      </x:c>
      <x:c r="O195" s="11" t="str">
        <x:v>高度 22.5 cm（官方本款规格的约全高；是否计入底座未单独说明）</x:v>
      </x:c>
      <x:c r="P195" s="11" t="str">
        <x:v>本款规格：无固定比例；高度 22.5 cm（官方本款规格的约全高；是否计入底座未单独说明）；材料：塑料；交付：涂装成品、计划商品。
版本与商品范围：原始商品名：POP UP PARADE Lucy L Size。作品／产品线：Cyberpunk: Edgerunners。官方页面标示出货月：2027-02；计划月份不作为已出货证明。
换件与适配：页面未明确布衣穿脱或跨产品换件范围。跨品牌接口、身体和衣物互换不从系列名称推断；具体限制应以本款产品页为准。</x:v>
      </x:c>
      <x:c r="Q195" s="11" t="str">
        <x:v>未取得产品对应证据</x:v>
      </x:c>
      <x:c r="R195" s="11" t="str">
        <x:v>2026-10-05</x:v>
      </x:c>
      <x:c r="S195" s="11" t="str">
        <x:v>gsc-pop-1137607</x:v>
      </x:c>
      <x:c r="T195" s="11" t="str">
        <x:v>https://www.goodsmile.com/en/product/1137607</x:v>
      </x:c>
    </x:row>
    <x:row r="196" ht="111" customHeight="1">
      <x:c r="A196" s="11" t="str">
        <x:v>POP UP PARADE Guts (Berserker Armor): Bloody Paint Ver. L Size</x:v>
      </x:c>
      <x:c r="B196" s="11" t="str">
        <x:v>Max Factory</x:v>
      </x:c>
      <x:c r="C196" s="12" t="str">
        <x:v>固定姿势</x:v>
      </x:c>
      <x:c r="D196" s="13" t="str">
        <x:v>涂装成品、计划商品</x:v>
      </x:c>
      <x:c r="E196" s="20" t="str">
        <x:v>无固定比例</x:v>
      </x:c>
      <x:c r="F196" s="21" t="n">
        <x:v>280</x:v>
      </x:c>
      <x:c r="G196" s="16" t="str">
        <x:v>官方本款规格的约全高；是否计入底座未单独说明</x:v>
      </x:c>
      <x:c r="H196" s="17" t="str">
        <x:v>未披露</x:v>
      </x:c>
      <x:c r="I196" s="18" t="str">
        <x:v>塑料</x:v>
      </x:c>
      <x:c r="J196" s="19" t="str">
        <x:v>静态手办</x:v>
      </x:c>
      <x:c r="K196" s="11" t="str">
        <x:v>POP UP PARADE Guts (Berserker Armor): Bloody Paint Ver. L Size</x:v>
      </x:c>
      <x:c r="L196" s="11" t="str">
        <x:v>未单独核对</x:v>
      </x:c>
      <x:c r="M196" s="11" t="str">
        <x:v>未披露</x:v>
      </x:c>
      <x:c r="N196" s="11" t="str">
        <x:v>本款官方产品页版本；再版与配色名称按原始商品名保留，不推断所有批次。</x:v>
      </x:c>
      <x:c r="O196" s="11" t="str">
        <x:v>高度 28 cm（官方本款规格的约全高；是否计入底座未单独说明）</x:v>
      </x:c>
      <x:c r="P196" s="11" t="str">
        <x:v>本款规格：无固定比例；高度 28 cm（官方本款规格的约全高；是否计入底座未单独说明）；材料：塑料；交付：涂装成品、计划商品。
版本与商品范围：原始商品名：POP UP PARADE Guts (Berserker Armor): Bloody Paint Ver. L Size。作品／产品线：Berserk。官方页面标示出货月：2027-05；计划月份不作为已出货证明。
换件与适配：页面未明确布衣穿脱或跨产品换件范围。跨品牌接口、身体和衣物互换不从系列名称推断；具体限制应以本款产品页为准。</x:v>
      </x:c>
      <x:c r="Q196" s="11" t="str">
        <x:v>未取得产品对应证据</x:v>
      </x:c>
      <x:c r="R196" s="11" t="str">
        <x:v>2026-10-05</x:v>
      </x:c>
      <x:c r="S196" s="11" t="str">
        <x:v>gsc-pop-1145852</x:v>
      </x:c>
      <x:c r="T196" s="11" t="str">
        <x:v>https://www.goodsmile.com/en/product/1145852</x:v>
      </x:c>
    </x:row>
    <x:row r="197" ht="111" customHeight="1">
      <x:c r="A197" s="11" t="str">
        <x:v>POP UP PARADE 赛车初音: 2023 Ver.</x:v>
      </x:c>
      <x:c r="B197" s="11" t="str">
        <x:v>GOODSMILE RACING</x:v>
      </x:c>
      <x:c r="C197" s="12" t="str">
        <x:v>固定姿势</x:v>
      </x:c>
      <x:c r="D197" s="13" t="str">
        <x:v>涂装成品、计划商品</x:v>
      </x:c>
      <x:c r="E197" s="20" t="str">
        <x:v>无固定比例</x:v>
      </x:c>
      <x:c r="F197" s="21" t="n">
        <x:v>170</x:v>
      </x:c>
      <x:c r="G197" s="16" t="str">
        <x:v>官方本款规格的约全高；是否计入底座未单独说明</x:v>
      </x:c>
      <x:c r="H197" s="17" t="str">
        <x:v>未披露</x:v>
      </x:c>
      <x:c r="I197" s="18" t="str">
        <x:v>塑料</x:v>
      </x:c>
      <x:c r="J197" s="19" t="str">
        <x:v>静态手办</x:v>
      </x:c>
      <x:c r="K197" s="11" t="str">
        <x:v>POP UP PARADE Racing Miku: 2023 Ver.</x:v>
      </x:c>
      <x:c r="L197" s="11" t="str">
        <x:v>未单独核对</x:v>
      </x:c>
      <x:c r="M197" s="11" t="str">
        <x:v>未披露</x:v>
      </x:c>
      <x:c r="N197" s="11" t="str">
        <x:v>本款官方产品页版本；再版与配色名称按原始商品名保留，不推断所有批次。</x:v>
      </x:c>
      <x:c r="O197" s="11" t="str">
        <x:v>高度 17 cm（官方本款规格的约全高；是否计入底座未单独说明）</x:v>
      </x:c>
      <x:c r="P197" s="11" t="str">
        <x:v>本款规格：无固定比例；高度 17 cm（官方本款规格的约全高；是否计入底座未单独说明）；材料：塑料；交付：涂装成品、计划商品。
版本与商品范围：原始商品名：POP UP PARADE Racing Miku: 2023 Ver.。作品／产品线：Hatsune Miku GT Project。官方页面标示出货月：2027-02；计划月份不作为已出货证明。
换件与适配：页面未明确布衣穿脱或跨产品换件范围。跨品牌接口、身体和衣物互换不从系列名称推断；具体限制应以本款产品页为准。</x:v>
      </x:c>
      <x:c r="Q197" s="11" t="str">
        <x:v>未取得产品对应证据</x:v>
      </x:c>
      <x:c r="R197" s="11" t="str">
        <x:v>2026-10-05</x:v>
      </x:c>
      <x:c r="S197" s="11" t="str">
        <x:v>gsc-pop-55958</x:v>
      </x:c>
      <x:c r="T197" s="11" t="str">
        <x:v>https://www.goodsmile.com/en/product/55958</x:v>
      </x:c>
    </x:row>
    <x:row r="198" ht="111" customHeight="1">
      <x:c r="A198" s="11" t="str">
        <x:v>POP UP PARADE SP Momon</x:v>
      </x:c>
      <x:c r="B198" s="11" t="str">
        <x:v>Good Smile Company</x:v>
      </x:c>
      <x:c r="C198" s="12" t="str">
        <x:v>固定姿势</x:v>
      </x:c>
      <x:c r="D198" s="13" t="str">
        <x:v>涂装成品、计划商品</x:v>
      </x:c>
      <x:c r="E198" s="20" t="str">
        <x:v>无固定比例</x:v>
      </x:c>
      <x:c r="F198" s="21" t="n">
        <x:v>270</x:v>
      </x:c>
      <x:c r="G198" s="16" t="str">
        <x:v>官方本款规格的约全高；是否计入底座未单独说明</x:v>
      </x:c>
      <x:c r="H198" s="17" t="str">
        <x:v>未披露</x:v>
      </x:c>
      <x:c r="I198" s="18" t="str">
        <x:v>塑料</x:v>
      </x:c>
      <x:c r="J198" s="19" t="str">
        <x:v>静态手办</x:v>
      </x:c>
      <x:c r="K198" s="11" t="str">
        <x:v>POP UP PARADE SP Momon</x:v>
      </x:c>
      <x:c r="L198" s="11" t="str">
        <x:v>未单独核对</x:v>
      </x:c>
      <x:c r="M198" s="11" t="str">
        <x:v>未披露</x:v>
      </x:c>
      <x:c r="N198" s="11" t="str">
        <x:v>本款官方产品页版本；再版与配色名称按原始商品名保留，不推断所有批次。</x:v>
      </x:c>
      <x:c r="O198" s="11" t="str">
        <x:v>高度 27 cm（官方本款规格的约全高；是否计入底座未单独说明）</x:v>
      </x:c>
      <x:c r="P198" s="11" t="str">
        <x:v>本款规格：无固定比例；高度 27 cm（官方本款规格的约全高；是否计入底座未单独说明）；材料：塑料；交付：涂装成品、计划商品。
版本与商品范围：原始商品名：POP UP PARADE SP Momon。作品／产品线：Overlord: The Holy Kingdom。官方页面标示出货月：2027-04；计划月份不作为已出货证明。
换件与适配：页面未明确布衣穿脱或跨产品换件范围。跨品牌接口、身体和衣物互换不从系列名称推断；具体限制应以本款产品页为准。</x:v>
      </x:c>
      <x:c r="Q198" s="11" t="str">
        <x:v>未取得产品对应证据</x:v>
      </x:c>
      <x:c r="R198" s="11" t="str">
        <x:v>2026-10-05</x:v>
      </x:c>
      <x:c r="S198" s="11" t="str">
        <x:v>gsc-pop-1139935</x:v>
      </x:c>
      <x:c r="T198" s="11" t="str">
        <x:v>https://www.goodsmile.com/en/product/1139935</x:v>
      </x:c>
    </x:row>
    <x:row r="199" ht="111" customHeight="1">
      <x:c r="A199" s="11" t="str">
        <x:v>POP UP PARADE Daiwa Scarlet L Size</x:v>
      </x:c>
      <x:c r="B199" s="11" t="str">
        <x:v>Good Smile Company</x:v>
      </x:c>
      <x:c r="C199" s="12" t="str">
        <x:v>固定姿势</x:v>
      </x:c>
      <x:c r="D199" s="13" t="str">
        <x:v>涂装成品、计划商品</x:v>
      </x:c>
      <x:c r="E199" s="20" t="str">
        <x:v>无固定比例</x:v>
      </x:c>
      <x:c r="F199" s="21" t="n">
        <x:v>225</x:v>
      </x:c>
      <x:c r="G199" s="16" t="str">
        <x:v>官方本款规格的约全高；是否计入底座未单独说明</x:v>
      </x:c>
      <x:c r="H199" s="17" t="str">
        <x:v>未披露</x:v>
      </x:c>
      <x:c r="I199" s="18" t="str">
        <x:v>塑料</x:v>
      </x:c>
      <x:c r="J199" s="19" t="str">
        <x:v>静态手办</x:v>
      </x:c>
      <x:c r="K199" s="11" t="str">
        <x:v>POP UP PARADE Daiwa Scarlet L Size</x:v>
      </x:c>
      <x:c r="L199" s="11" t="str">
        <x:v>未单独核对</x:v>
      </x:c>
      <x:c r="M199" s="11" t="str">
        <x:v>未披露</x:v>
      </x:c>
      <x:c r="N199" s="11" t="str">
        <x:v>本款官方产品页版本；再版与配色名称按原始商品名保留，不推断所有批次。</x:v>
      </x:c>
      <x:c r="O199" s="11" t="str">
        <x:v>高度 22.5 cm（官方本款规格的约全高；是否计入底座未单独说明）</x:v>
      </x:c>
      <x:c r="P199" s="11" t="str">
        <x:v>本款规格：无固定比例；高度 22.5 cm（官方本款规格的约全高；是否计入底座未单独说明）；材料：塑料；交付：涂装成品、计划商品。
版本与商品范围：原始商品名：POP UP PARADE Daiwa Scarlet L Size。作品／产品线：Umamusume: Pretty Derby。官方页面标示出货月：2027-02；计划月份不作为已出货证明。
换件与适配：页面未明确布衣穿脱或跨产品换件范围。跨品牌接口、身体和衣物互换不从系列名称推断；具体限制应以本款产品页为准。</x:v>
      </x:c>
      <x:c r="Q199" s="11" t="str">
        <x:v>未取得产品对应证据</x:v>
      </x:c>
      <x:c r="R199" s="11" t="str">
        <x:v>2026-10-05</x:v>
      </x:c>
      <x:c r="S199" s="11" t="str">
        <x:v>gsc-pop-1136848</x:v>
      </x:c>
      <x:c r="T199" s="11" t="str">
        <x:v>https://www.goodsmile.com/en/product/1136848</x:v>
      </x:c>
    </x:row>
    <x:row r="200" ht="111" customHeight="1">
      <x:c r="A200" s="11" t="str">
        <x:v>POP UP PARADE Dorothy Haze L Size</x:v>
      </x:c>
      <x:c r="B200" s="11" t="str">
        <x:v>Good Smile Company</x:v>
      </x:c>
      <x:c r="C200" s="12" t="str">
        <x:v>固定姿势</x:v>
      </x:c>
      <x:c r="D200" s="13" t="str">
        <x:v>涂装成品、计划商品</x:v>
      </x:c>
      <x:c r="E200" s="20" t="str">
        <x:v>无固定比例</x:v>
      </x:c>
      <x:c r="F200" s="21" t="n">
        <x:v>220</x:v>
      </x:c>
      <x:c r="G200" s="16" t="str">
        <x:v>官方本款规格的约全高；是否计入底座未单独说明</x:v>
      </x:c>
      <x:c r="H200" s="17" t="str">
        <x:v>未披露</x:v>
      </x:c>
      <x:c r="I200" s="18" t="str">
        <x:v>塑料</x:v>
      </x:c>
      <x:c r="J200" s="19" t="str">
        <x:v>静态手办</x:v>
      </x:c>
      <x:c r="K200" s="11" t="str">
        <x:v>POP UP PARADE Dorothy Haze L Size</x:v>
      </x:c>
      <x:c r="L200" s="11" t="str">
        <x:v>未单独核对</x:v>
      </x:c>
      <x:c r="M200" s="11" t="str">
        <x:v>未披露</x:v>
      </x:c>
      <x:c r="N200" s="11" t="str">
        <x:v>本款官方产品页版本；再版与配色名称按原始商品名保留，不推断所有批次。</x:v>
      </x:c>
      <x:c r="O200" s="11" t="str">
        <x:v>高度 22 cm（官方本款规格的约全高；是否计入底座未单独说明）</x:v>
      </x:c>
      <x:c r="P200" s="11" t="str">
        <x:v>本款规格：无固定比例；高度 22 cm（官方本款规格的约全高；是否计入底座未单独说明）；材料：塑料；交付：涂装成品、计划商品。
版本与商品范围：原始商品名：POP UP PARADE Dorothy Haze L Size。作品／产品线：VA-11 HALL-A: Cyberpunk Bartender Action。官方页面标示出货月：2027-03；计划月份不作为已出货证明。
换件与适配：页面未明确布衣穿脱或跨产品换件范围。跨品牌接口、身体和衣物互换不从系列名称推断；具体限制应以本款产品页为准。</x:v>
      </x:c>
      <x:c r="Q200" s="11" t="str">
        <x:v>未取得产品对应证据</x:v>
      </x:c>
      <x:c r="R200" s="11" t="str">
        <x:v>2026-10-05</x:v>
      </x:c>
      <x:c r="S200" s="11" t="str">
        <x:v>gsc-pop-1139391</x:v>
      </x:c>
      <x:c r="T200" s="11" t="str">
        <x:v>https://www.goodsmile.com/en/product/1139391</x:v>
      </x:c>
    </x:row>
    <x:row r="201" ht="126" customHeight="1">
      <x:c r="A201" s="11" t="str">
        <x:v>POP UP PARADE Dorothy Haze: Another Skin Ver. L Size</x:v>
      </x:c>
      <x:c r="B201" s="11" t="str">
        <x:v>Good Smile Company</x:v>
      </x:c>
      <x:c r="C201" s="12" t="str">
        <x:v>固定姿势</x:v>
      </x:c>
      <x:c r="D201" s="13" t="str">
        <x:v>涂装成品、计划商品</x:v>
      </x:c>
      <x:c r="E201" s="20" t="str">
        <x:v>无固定比例</x:v>
      </x:c>
      <x:c r="F201" s="21" t="n">
        <x:v>220</x:v>
      </x:c>
      <x:c r="G201" s="16" t="str">
        <x:v>官方本款规格的约全高；是否计入底座未单独说明</x:v>
      </x:c>
      <x:c r="H201" s="17" t="str">
        <x:v>未披露</x:v>
      </x:c>
      <x:c r="I201" s="18" t="str">
        <x:v>塑料</x:v>
      </x:c>
      <x:c r="J201" s="19" t="str">
        <x:v>静态手办</x:v>
      </x:c>
      <x:c r="K201" s="11" t="str">
        <x:v>POP UP PARADE Dorothy Haze: Another Skin Ver. L Size</x:v>
      </x:c>
      <x:c r="L201" s="11" t="str">
        <x:v>未单独核对</x:v>
      </x:c>
      <x:c r="M201" s="11" t="str">
        <x:v>未披露</x:v>
      </x:c>
      <x:c r="N201" s="11" t="str">
        <x:v>本款官方产品页版本；再版与配色名称按原始商品名保留，不推断所有批次。</x:v>
      </x:c>
      <x:c r="O201" s="11" t="str">
        <x:v>高度 22 cm（官方本款规格的约全高；是否计入底座未单独说明）</x:v>
      </x:c>
      <x:c r="P201" s="11" t="str">
        <x:v>本款规格：无固定比例；高度 22 cm（官方本款规格的约全高；是否计入底座未单独说明）；材料：塑料；交付：涂装成品、计划商品。
版本与商品范围：原始商品名：POP UP PARADE Dorothy Haze: Another Skin Ver. L Size。作品／产品线：VA-11 HALL-A: Cyberpunk Bartender Action。官方页面标示出货月：2027-03；计划月份不作为已出货证明。
换件与适配：页面未明确布衣穿脱或跨产品换件范围。跨品牌接口、身体和衣物互换不从系列名称推断；具体限制应以本款产品页为准。</x:v>
      </x:c>
      <x:c r="Q201" s="11" t="str">
        <x:v>未取得产品对应证据</x:v>
      </x:c>
      <x:c r="R201" s="11" t="str">
        <x:v>2026-10-05</x:v>
      </x:c>
      <x:c r="S201" s="11" t="str">
        <x:v>gsc-pop-1139433</x:v>
      </x:c>
      <x:c r="T201" s="11" t="str">
        <x:v>https://www.goodsmile.com/en/product/1139433</x:v>
      </x:c>
    </x:row>
    <x:row r="202" ht="111" customHeight="1">
      <x:c r="A202" s="11" t="str">
        <x:v>POP UP PARADE Saya L Size</x:v>
      </x:c>
      <x:c r="B202" s="11" t="str">
        <x:v>Good Smile Company</x:v>
      </x:c>
      <x:c r="C202" s="12" t="str">
        <x:v>固定姿势</x:v>
      </x:c>
      <x:c r="D202" s="13" t="str">
        <x:v>涂装成品、计划商品</x:v>
      </x:c>
      <x:c r="E202" s="20" t="str">
        <x:v>无固定比例</x:v>
      </x:c>
      <x:c r="F202" s="21" t="n">
        <x:v>120</x:v>
      </x:c>
      <x:c r="G202" s="16" t="str">
        <x:v>官方本款规格的约全高；是否计入底座未单独说明</x:v>
      </x:c>
      <x:c r="H202" s="17" t="str">
        <x:v>未披露</x:v>
      </x:c>
      <x:c r="I202" s="18" t="str">
        <x:v>塑料</x:v>
      </x:c>
      <x:c r="J202" s="19" t="str">
        <x:v>静态手办</x:v>
      </x:c>
      <x:c r="K202" s="11" t="str">
        <x:v>POP UP PARADE Saya L Size</x:v>
      </x:c>
      <x:c r="L202" s="11" t="str">
        <x:v>未单独核对</x:v>
      </x:c>
      <x:c r="M202" s="11" t="str">
        <x:v>未披露</x:v>
      </x:c>
      <x:c r="N202" s="11" t="str">
        <x:v>本款官方产品页版本；再版与配色名称按原始商品名保留，不推断所有批次。</x:v>
      </x:c>
      <x:c r="O202" s="11" t="str">
        <x:v>高度 12 cm（官方本款规格的约全高；是否计入底座未单独说明）</x:v>
      </x:c>
      <x:c r="P202" s="11" t="str">
        <x:v>本款规格：无固定比例；高度 12 cm（官方本款规格的约全高；是否计入底座未单独说明）；材料：塑料；交付：涂装成品、计划商品。
版本与商品范围：原始商品名：POP UP PARADE Saya L Size。作品／产品线：The Song of Saya。官方页面标示出货月：2027-01；计划月份不作为已出货证明。
换件与适配：页面未明确布衣穿脱或跨产品换件范围。跨品牌接口、身体和衣物互换不从系列名称推断；具体限制应以本款产品页为准。</x:v>
      </x:c>
      <x:c r="Q202" s="11" t="str">
        <x:v>未取得产品对应证据</x:v>
      </x:c>
      <x:c r="R202" s="11" t="str">
        <x:v>2026-10-05</x:v>
      </x:c>
      <x:c r="S202" s="11" t="str">
        <x:v>gsc-pop-1136656</x:v>
      </x:c>
      <x:c r="T202" s="11" t="str">
        <x:v>https://www.goodsmile.com/en/product/1136656</x:v>
      </x:c>
    </x:row>
    <x:row r="203" ht="111" customHeight="1">
      <x:c r="A203" s="11" t="str">
        <x:v>POP UP PARADE Sherry Tachibana L Size</x:v>
      </x:c>
      <x:c r="B203" s="11" t="str">
        <x:v>Good Smile Company</x:v>
      </x:c>
      <x:c r="C203" s="12" t="str">
        <x:v>固定姿势</x:v>
      </x:c>
      <x:c r="D203" s="13" t="str">
        <x:v>涂装成品、计划商品</x:v>
      </x:c>
      <x:c r="E203" s="20" t="str">
        <x:v>无固定比例</x:v>
      </x:c>
      <x:c r="F203" s="21" t="n">
        <x:v>220</x:v>
      </x:c>
      <x:c r="G203" s="16" t="str">
        <x:v>官方本款规格的约全高；是否计入底座未单独说明</x:v>
      </x:c>
      <x:c r="H203" s="17" t="str">
        <x:v>未披露</x:v>
      </x:c>
      <x:c r="I203" s="18" t="str">
        <x:v>塑料</x:v>
      </x:c>
      <x:c r="J203" s="19" t="str">
        <x:v>静态手办</x:v>
      </x:c>
      <x:c r="K203" s="11" t="str">
        <x:v>POP UP PARADE Sherry Tachibana L Size</x:v>
      </x:c>
      <x:c r="L203" s="11" t="str">
        <x:v>未单独核对</x:v>
      </x:c>
      <x:c r="M203" s="11" t="str">
        <x:v>未披露</x:v>
      </x:c>
      <x:c r="N203" s="11" t="str">
        <x:v>本款官方产品页版本；再版与配色名称按原始商品名保留，不推断所有批次。</x:v>
      </x:c>
      <x:c r="O203" s="11" t="str">
        <x:v>高度 22 cm（官方本款规格的约全高；是否计入底座未单独说明）</x:v>
      </x:c>
      <x:c r="P203" s="11" t="str">
        <x:v>本款规格：无固定比例；高度 22 cm（官方本款规格的约全高；是否计入底座未单独说明）；材料：塑料；交付：涂装成品、计划商品。
版本与商品范围：原始商品名：POP UP PARADE Sherry Tachibana L Size。作品／产品线：Magical Girl Witch Trials。官方页面标示出货月：2027-02；计划月份不作为已出货证明。
换件与适配：页面未明确布衣穿脱或跨产品换件范围。跨品牌接口、身体和衣物互换不从系列名称推断；具体限制应以本款产品页为准。</x:v>
      </x:c>
      <x:c r="Q203" s="11" t="str">
        <x:v>未取得产品对应证据</x:v>
      </x:c>
      <x:c r="R203" s="11" t="str">
        <x:v>2026-10-05</x:v>
      </x:c>
      <x:c r="S203" s="11" t="str">
        <x:v>gsc-pop-1144886</x:v>
      </x:c>
      <x:c r="T203" s="11" t="str">
        <x:v>https://www.goodsmile.com/en/product/1144886</x:v>
      </x:c>
    </x:row>
    <x:row r="204" ht="111" customHeight="1">
      <x:c r="A204" s="11" t="str">
        <x:v>POP UP PARADE SP Assassin/"First Hassan"</x:v>
      </x:c>
      <x:c r="B204" s="11" t="str">
        <x:v>Good Smile Company</x:v>
      </x:c>
      <x:c r="C204" s="12" t="str">
        <x:v>固定姿势</x:v>
      </x:c>
      <x:c r="D204" s="13" t="str">
        <x:v>涂装成品、计划商品</x:v>
      </x:c>
      <x:c r="E204" s="20" t="str">
        <x:v>无固定比例</x:v>
      </x:c>
      <x:c r="F204" s="21" t="n">
        <x:v>330</x:v>
      </x:c>
      <x:c r="G204" s="16" t="str">
        <x:v>官方本款规格的约全高；是否计入底座未单独说明</x:v>
      </x:c>
      <x:c r="H204" s="17" t="str">
        <x:v>未披露</x:v>
      </x:c>
      <x:c r="I204" s="18" t="str">
        <x:v>塑料</x:v>
      </x:c>
      <x:c r="J204" s="19" t="str">
        <x:v>静态手办</x:v>
      </x:c>
      <x:c r="K204" s="11" t="str">
        <x:v>POP UP PARADE SP Assassin/"First Hassan"</x:v>
      </x:c>
      <x:c r="L204" s="11" t="str">
        <x:v>未单独核对</x:v>
      </x:c>
      <x:c r="M204" s="11" t="str">
        <x:v>未披露</x:v>
      </x:c>
      <x:c r="N204" s="11" t="str">
        <x:v>本款官方产品页版本；再版与配色名称按原始商品名保留，不推断所有批次。</x:v>
      </x:c>
      <x:c r="O204" s="11" t="str">
        <x:v>高度 33 cm（官方本款规格的约全高；是否计入底座未单独说明）</x:v>
      </x:c>
      <x:c r="P204" s="11" t="str">
        <x:v>本款规格：无固定比例；高度 33 cm（官方本款规格的约全高；是否计入底座未单独说明）；材料：塑料；交付：涂装成品、计划商品。
版本与商品范围：原始商品名：POP UP PARADE SP Assassin/"First Hassan"。作品／产品线：Fate/Grand Order。官方页面标示出货月：2027-02；计划月份不作为已出货证明。
换件与适配：页面未明确布衣穿脱或跨产品换件范围。跨品牌接口、身体和衣物互换不从系列名称推断；具体限制应以本款产品页为准。</x:v>
      </x:c>
      <x:c r="Q204" s="11" t="str">
        <x:v>未取得产品对应证据</x:v>
      </x:c>
      <x:c r="R204" s="11" t="str">
        <x:v>2026-10-05</x:v>
      </x:c>
      <x:c r="S204" s="11" t="str">
        <x:v>gsc-pop-61723</x:v>
      </x:c>
      <x:c r="T204" s="11" t="str">
        <x:v>https://www.goodsmile.com/en/product/61723</x:v>
      </x:c>
    </x:row>
    <x:row r="205" ht="110" customHeight="1">
      <x:c r="A205" s="11" t="str">
        <x:v>POP UP PARADE Hiro Nikaido L Size</x:v>
      </x:c>
      <x:c r="B205" s="11" t="str">
        <x:v>Good Smile Company</x:v>
      </x:c>
      <x:c r="C205" s="12" t="str">
        <x:v>固定姿势</x:v>
      </x:c>
      <x:c r="D205" s="13" t="str">
        <x:v>涂装成品、计划商品</x:v>
      </x:c>
      <x:c r="E205" s="20" t="str">
        <x:v>未披露</x:v>
      </x:c>
      <x:c r="F205" s="21"/>
      <x:c r="G205" s="16" t="str">
        <x:v>未披露</x:v>
      </x:c>
      <x:c r="H205" s="17" t="str">
        <x:v>未披露</x:v>
      </x:c>
      <x:c r="I205" s="18" t="str">
        <x:v>材料未披露</x:v>
      </x:c>
      <x:c r="J205" s="19" t="str">
        <x:v>静态手办</x:v>
      </x:c>
      <x:c r="K205" s="11" t="str">
        <x:v>POP UP PARADE Hiro Nikaido L Size</x:v>
      </x:c>
      <x:c r="L205" s="11" t="str">
        <x:v>未单独核对</x:v>
      </x:c>
      <x:c r="M205" s="11" t="str">
        <x:v>未披露</x:v>
      </x:c>
      <x:c r="N205" s="11" t="str">
        <x:v>本款官方产品页版本；再版与配色名称按原始商品名保留，不推断所有批次。</x:v>
      </x:c>
      <x:c r="O205" s="11" t="str">
        <x:v>未披露</x:v>
      </x:c>
      <x:c r="P205" s="11" t="str">
        <x:v>本款规格：比例未披露；材料：未披露；交付：涂装成品、计划商品。
版本与商品范围：原始商品名：POP UP PARADE Hiro Nikaido L Size。作品／产品线：Magical Girl Witch Trials。官方页面标示出货月：2027-01；计划月份不作为已出货证明。
换件与适配：页面未明确布衣穿脱或跨产品换件范围。跨品牌接口、身体和衣物互换不从系列名称推断；具体限制应以本款产品页为准。</x:v>
      </x:c>
      <x:c r="Q205" s="11" t="str">
        <x:v>未取得产品对应证据</x:v>
      </x:c>
      <x:c r="R205" s="11" t="str">
        <x:v>2026-10-05</x:v>
      </x:c>
      <x:c r="S205" s="11" t="str">
        <x:v>gsc-pop-1144885</x:v>
      </x:c>
      <x:c r="T205" s="11" t="str">
        <x:v>https://www.goodsmile.com/en/product/1144885</x:v>
      </x:c>
    </x:row>
    <x:row r="206" ht="111" customHeight="1">
      <x:c r="A206" s="11" t="str">
        <x:v>POP UP PARADE Yuzu (Maid)</x:v>
      </x:c>
      <x:c r="B206" s="11" t="str">
        <x:v>Good Smile Company</x:v>
      </x:c>
      <x:c r="C206" s="12" t="str">
        <x:v>固定姿势</x:v>
      </x:c>
      <x:c r="D206" s="13" t="str">
        <x:v>涂装成品、计划商品</x:v>
      </x:c>
      <x:c r="E206" s="20" t="str">
        <x:v>无固定比例</x:v>
      </x:c>
      <x:c r="F206" s="21" t="n">
        <x:v>180</x:v>
      </x:c>
      <x:c r="G206" s="16" t="str">
        <x:v>官方本款规格的约全高；是否计入底座未单独说明</x:v>
      </x:c>
      <x:c r="H206" s="17" t="str">
        <x:v>未披露</x:v>
      </x:c>
      <x:c r="I206" s="18" t="str">
        <x:v>塑料</x:v>
      </x:c>
      <x:c r="J206" s="19" t="str">
        <x:v>静态手办</x:v>
      </x:c>
      <x:c r="K206" s="11" t="str">
        <x:v>POP UP PARADE Yuzu (Maid)</x:v>
      </x:c>
      <x:c r="L206" s="11" t="str">
        <x:v>未单独核对</x:v>
      </x:c>
      <x:c r="M206" s="11" t="str">
        <x:v>未披露</x:v>
      </x:c>
      <x:c r="N206" s="11" t="str">
        <x:v>本款官方产品页版本；再版与配色名称按原始商品名保留，不推断所有批次。</x:v>
      </x:c>
      <x:c r="O206" s="11" t="str">
        <x:v>高度 18 cm（官方本款规格的约全高；是否计入底座未单独说明）</x:v>
      </x:c>
      <x:c r="P206" s="11" t="str">
        <x:v>本款规格：无固定比例；高度 18 cm（官方本款规格的约全高；是否计入底座未单独说明）；材料：塑料；交付：涂装成品、计划商品。
版本与商品范围：原始商品名：POP UP PARADE Yuzu (Maid)。作品／产品线：Blue Archive。官方页面标示出货月：2026-12；计划月份不作为已出货证明。
换件与适配：页面未明确布衣穿脱或跨产品换件范围。跨品牌接口、身体和衣物互换不从系列名称推断；具体限制应以本款产品页为准。</x:v>
      </x:c>
      <x:c r="Q206" s="11" t="str">
        <x:v>未取得产品对应证据</x:v>
      </x:c>
      <x:c r="R206" s="11" t="str">
        <x:v>2026-10-05</x:v>
      </x:c>
      <x:c r="S206" s="11" t="str">
        <x:v>gsc-pop-1143802</x:v>
      </x:c>
      <x:c r="T206" s="11" t="str">
        <x:v>https://www.goodsmile.com/en/product/1143802</x:v>
      </x:c>
    </x:row>
    <x:row r="207" ht="111" customHeight="1">
      <x:c r="A207" s="11" t="str">
        <x:v>POP UP PARADE Zero Two L Size</x:v>
      </x:c>
      <x:c r="B207" s="11" t="str">
        <x:v>Good Smile Company</x:v>
      </x:c>
      <x:c r="C207" s="12" t="str">
        <x:v>固定姿势</x:v>
      </x:c>
      <x:c r="D207" s="13" t="str">
        <x:v>涂装成品、计划商品</x:v>
      </x:c>
      <x:c r="E207" s="20" t="str">
        <x:v>无固定比例</x:v>
      </x:c>
      <x:c r="F207" s="21" t="n">
        <x:v>210</x:v>
      </x:c>
      <x:c r="G207" s="16" t="str">
        <x:v>官方本款规格的约全高；是否计入底座未单独说明</x:v>
      </x:c>
      <x:c r="H207" s="17" t="str">
        <x:v>未披露</x:v>
      </x:c>
      <x:c r="I207" s="18" t="str">
        <x:v>塑料</x:v>
      </x:c>
      <x:c r="J207" s="19" t="str">
        <x:v>静态手办</x:v>
      </x:c>
      <x:c r="K207" s="11" t="str">
        <x:v>POP UP PARADE Zero Two L Size</x:v>
      </x:c>
      <x:c r="L207" s="11" t="str">
        <x:v>未单独核对</x:v>
      </x:c>
      <x:c r="M207" s="11" t="str">
        <x:v>未披露</x:v>
      </x:c>
      <x:c r="N207" s="11" t="str">
        <x:v>本款官方产品页版本；再版与配色名称按原始商品名保留，不推断所有批次。</x:v>
      </x:c>
      <x:c r="O207" s="11" t="str">
        <x:v>高度 21 cm（官方本款规格的约全高；是否计入底座未单独说明）</x:v>
      </x:c>
      <x:c r="P207" s="11" t="str">
        <x:v>本款规格：无固定比例；高度 21 cm（官方本款规格的约全高；是否计入底座未单独说明）；材料：塑料；交付：涂装成品、计划商品。
版本与商品范围：原始商品名：POP UP PARADE Zero Two L Size。作品／产品线：DARLING in the FRANXX。官方页面标示出货月：2026-12；计划月份不作为已出货证明。
换件与适配：页面未明确布衣穿脱或跨产品换件范围。跨品牌接口、身体和衣物互换不从系列名称推断；具体限制应以本款产品页为准。</x:v>
      </x:c>
      <x:c r="Q207" s="11" t="str">
        <x:v>未取得产品对应证据</x:v>
      </x:c>
      <x:c r="R207" s="11" t="str">
        <x:v>2026-10-05</x:v>
      </x:c>
      <x:c r="S207" s="11" t="str">
        <x:v>gsc-pop-1137698</x:v>
      </x:c>
      <x:c r="T207" s="11" t="str">
        <x:v>https://www.goodsmile.com/en/product/1137698</x:v>
      </x:c>
    </x:row>
    <x:row r="208" ht="110" customHeight="1">
      <x:c r="A208" s="11" t="str">
        <x:v>POP UP PARADE SP Void</x:v>
      </x:c>
      <x:c r="B208" s="11" t="str">
        <x:v>Good Smile Company</x:v>
      </x:c>
      <x:c r="C208" s="12" t="str">
        <x:v>固定姿势</x:v>
      </x:c>
      <x:c r="D208" s="13" t="str">
        <x:v>涂装成品、计划商品</x:v>
      </x:c>
      <x:c r="E208" s="20" t="str">
        <x:v>无固定比例</x:v>
      </x:c>
      <x:c r="F208" s="21" t="n">
        <x:v>270</x:v>
      </x:c>
      <x:c r="G208" s="16" t="str">
        <x:v>官方本款规格的约全高；明确含底座</x:v>
      </x:c>
      <x:c r="H208" s="17" t="str">
        <x:v>未披露</x:v>
      </x:c>
      <x:c r="I208" s="18" t="str">
        <x:v>塑料</x:v>
      </x:c>
      <x:c r="J208" s="19" t="str">
        <x:v>静态手办</x:v>
      </x:c>
      <x:c r="K208" s="11" t="str">
        <x:v>POP UP PARADE SP Void</x:v>
      </x:c>
      <x:c r="L208" s="11" t="str">
        <x:v>未单独核对</x:v>
      </x:c>
      <x:c r="M208" s="11" t="str">
        <x:v>未披露</x:v>
      </x:c>
      <x:c r="N208" s="11" t="str">
        <x:v>本款官方产品页版本；再版与配色名称按原始商品名保留，不推断所有批次。</x:v>
      </x:c>
      <x:c r="O208" s="11" t="str">
        <x:v>高度 27 cm（官方本款规格的约全高；明确含底座）</x:v>
      </x:c>
      <x:c r="P208" s="11" t="str">
        <x:v>本款规格：无固定比例；高度 27 cm（官方本款规格的约全高；明确含底座）；材料：塑料；交付：涂装成品、计划商品。
版本与商品范围：原始商品名：POP UP PARADE SP Void。作品／产品线：Berserk。官方页面标示出货月：2027-02；计划月份不作为已出货证明。
换件与适配：页面未明确布衣穿脱或跨产品换件范围。跨品牌接口、身体和衣物互换不从系列名称推断；具体限制应以本款产品页为准。</x:v>
      </x:c>
      <x:c r="Q208" s="11" t="str">
        <x:v>未取得产品对应证据</x:v>
      </x:c>
      <x:c r="R208" s="11" t="str">
        <x:v>2026-10-05</x:v>
      </x:c>
      <x:c r="S208" s="11" t="str">
        <x:v>gsc-pop-1145188</x:v>
      </x:c>
      <x:c r="T208" s="11" t="str">
        <x:v>https://www.goodsmile.com/en/product/1145188</x:v>
      </x:c>
    </x:row>
    <x:row r="209" ht="111" customHeight="1">
      <x:c r="A209" s="11" t="str">
        <x:v>POP UP PARADE Alastor: Another Color Ver.</x:v>
      </x:c>
      <x:c r="B209" s="11" t="str">
        <x:v>Good Smile Company</x:v>
      </x:c>
      <x:c r="C209" s="12" t="str">
        <x:v>固定姿势</x:v>
      </x:c>
      <x:c r="D209" s="13" t="str">
        <x:v>涂装成品</x:v>
      </x:c>
      <x:c r="E209" s="20" t="str">
        <x:v>无固定比例</x:v>
      </x:c>
      <x:c r="F209" s="21" t="n">
        <x:v>180</x:v>
      </x:c>
      <x:c r="G209" s="16" t="str">
        <x:v>官方本款规格的约全高；是否计入底座未单独说明</x:v>
      </x:c>
      <x:c r="H209" s="17" t="str">
        <x:v>未披露</x:v>
      </x:c>
      <x:c r="I209" s="18" t="str">
        <x:v>塑料</x:v>
      </x:c>
      <x:c r="J209" s="19" t="str">
        <x:v>静态手办</x:v>
      </x:c>
      <x:c r="K209" s="11" t="str">
        <x:v>POP UP PARADE Alastor: Another Color Ver.</x:v>
      </x:c>
      <x:c r="L209" s="11" t="str">
        <x:v>未单独核对</x:v>
      </x:c>
      <x:c r="M209" s="11" t="str">
        <x:v>未披露</x:v>
      </x:c>
      <x:c r="N209" s="11" t="str">
        <x:v>本款官方产品页版本；再版与配色名称按原始商品名保留，不推断所有批次。</x:v>
      </x:c>
      <x:c r="O209" s="11" t="str">
        <x:v>高度 18 cm（官方本款规格的约全高；是否计入底座未单独说明）</x:v>
      </x:c>
      <x:c r="P209" s="11" t="str">
        <x:v>本款规格：无固定比例；高度 18 cm（官方本款规格的约全高；是否计入底座未单独说明）；材料：塑料；交付：涂装成品。
版本与商品范围：原始商品名：POP UP PARADE Alastor: Another Color Ver.。作品／产品线：Hazbin Hotel。官方页面标示出货月：2026-07；计划月份不作为已出货证明。
换件与适配：页面未明确布衣穿脱或跨产品换件范围。跨品牌接口、身体和衣物互换不从系列名称推断；具体限制应以本款产品页为准。</x:v>
      </x:c>
      <x:c r="Q209" s="11" t="str">
        <x:v>未取得产品对应证据</x:v>
      </x:c>
      <x:c r="R209" s="11" t="str">
        <x:v>2026-10-05</x:v>
      </x:c>
      <x:c r="S209" s="11" t="str">
        <x:v>gsc-pop-1143892</x:v>
      </x:c>
      <x:c r="T209" s="11" t="str">
        <x:v>https://www.goodsmile.com/en/product/1143892</x:v>
      </x:c>
    </x:row>
    <x:row r="210" ht="168" customHeight="1">
      <x:c r="A210" s="11" t="str">
        <x:v>POP UP PARADE Polyester &amp; Polyurethane Set</x:v>
      </x:c>
      <x:c r="B210" s="11" t="str">
        <x:v>Good Smile Company</x:v>
      </x:c>
      <x:c r="C210" s="12" t="str">
        <x:v>固定姿势</x:v>
      </x:c>
      <x:c r="D210" s="13" t="str">
        <x:v>涂装成品、计划商品</x:v>
      </x:c>
      <x:c r="E210" s="20" t="str">
        <x:v>无固定比例</x:v>
      </x:c>
      <x:c r="F210" s="21"/>
      <x:c r="G210" s="16" t="str">
        <x:v>未披露</x:v>
      </x:c>
      <x:c r="H210" s="17" t="str">
        <x:v>未披露</x:v>
      </x:c>
      <x:c r="I210" s="18" t="str">
        <x:v>聚酯纤维、塑料</x:v>
      </x:c>
      <x:c r="J210" s="19" t="str">
        <x:v>静态手办</x:v>
      </x:c>
      <x:c r="K210" s="11" t="str">
        <x:v>POP UP PARADE Polyester &amp; Polyurethane Set</x:v>
      </x:c>
      <x:c r="L210" s="11" t="str">
        <x:v>未单独核对</x:v>
      </x:c>
      <x:c r="M210" s="11" t="str">
        <x:v>未披露</x:v>
      </x:c>
      <x:c r="N210" s="11" t="str">
        <x:v>本款官方产品页版本；再版与配色名称按原始商品名保留，不推断所有批次。</x:v>
      </x:c>
      <x:c r="O210" s="11" t="str">
        <x:v>Polyester · 高度 14 cm（官方本款规格的约全高；是否计入底座未单独说明）
Polyurethane · 高度 14 cm（官方本款规格的约全高；是否计入底座未单独说明）</x:v>
      </x:c>
      <x:c r="P210" s="11" t="str">
        <x:v>本款规格：无固定比例；Polyester · 高度 14 cm（官方本款规格的约全高；是否计入底座未单独说明）；Polyurethane · 高度 14 cm（官方本款规格的约全高；是否计入底座未单独说明）；材料：聚酯纤维、塑料；交付：涂装成品、计划商品。
版本与商品范围：原始商品名：POP UP PARADE Polyester &amp; Polyurethane Set。作品／产品线：New PANTY &amp; STOCKING with GARTERBELT。官方页面标示出货月：2027-01；计划月份不作为已出货证明。
换件与适配：页面未明确布衣穿脱或跨产品换件范围。跨品牌接口、身体和衣物互换不从系列名称推断；具体限制应以本款产品页为准。
多项尺寸口径：此产品页列出多个角色、部件或测量起止的高度，不选用其中一个数字代表全部；尺寸标签逐项保留，不画单一身高柱。</x:v>
      </x:c>
      <x:c r="Q210" s="11" t="str">
        <x:v>未取得产品对应证据</x:v>
      </x:c>
      <x:c r="R210" s="11" t="str">
        <x:v>2026-10-05</x:v>
      </x:c>
      <x:c r="S210" s="11" t="str">
        <x:v>gsc-pop-1142460</x:v>
      </x:c>
      <x:c r="T210" s="11" t="str">
        <x:v>https://www.goodsmile.com/en/product/1142460</x:v>
      </x:c>
    </x:row>
    <x:row r="211" ht="111" customHeight="1">
      <x:c r="A211" s="11" t="str">
        <x:v>POP UP PARADE Polyester</x:v>
      </x:c>
      <x:c r="B211" s="11" t="str">
        <x:v>Good Smile Company</x:v>
      </x:c>
      <x:c r="C211" s="12" t="str">
        <x:v>固定姿势</x:v>
      </x:c>
      <x:c r="D211" s="13" t="str">
        <x:v>涂装成品、计划商品</x:v>
      </x:c>
      <x:c r="E211" s="20" t="str">
        <x:v>无固定比例</x:v>
      </x:c>
      <x:c r="F211" s="21" t="n">
        <x:v>140</x:v>
      </x:c>
      <x:c r="G211" s="16" t="str">
        <x:v>官方本款规格的约全高；是否计入底座未单独说明</x:v>
      </x:c>
      <x:c r="H211" s="17" t="str">
        <x:v>未披露</x:v>
      </x:c>
      <x:c r="I211" s="18" t="str">
        <x:v>塑料</x:v>
      </x:c>
      <x:c r="J211" s="19" t="str">
        <x:v>静态手办</x:v>
      </x:c>
      <x:c r="K211" s="11" t="str">
        <x:v>POP UP PARADE Polyester</x:v>
      </x:c>
      <x:c r="L211" s="11" t="str">
        <x:v>未单独核对</x:v>
      </x:c>
      <x:c r="M211" s="11" t="str">
        <x:v>未披露</x:v>
      </x:c>
      <x:c r="N211" s="11" t="str">
        <x:v>本款官方产品页版本；再版与配色名称按原始商品名保留，不推断所有批次。</x:v>
      </x:c>
      <x:c r="O211" s="11" t="str">
        <x:v>高度 14 cm（官方本款规格的约全高；是否计入底座未单独说明）</x:v>
      </x:c>
      <x:c r="P211" s="11" t="str">
        <x:v>本款规格：无固定比例；高度 14 cm（官方本款规格的约全高；是否计入底座未单独说明）；材料：塑料；交付：涂装成品、计划商品。
版本与商品范围：原始商品名：POP UP PARADE Polyester。作品／产品线：New PANTY &amp; STOCKING with GARTERBELT。官方页面标示出货月：2027-01；计划月份不作为已出货证明。
换件与适配：页面未明确布衣穿脱或跨产品换件范围。跨品牌接口、身体和衣物互换不从系列名称推断；具体限制应以本款产品页为准。</x:v>
      </x:c>
      <x:c r="Q211" s="11" t="str">
        <x:v>未取得产品对应证据</x:v>
      </x:c>
      <x:c r="R211" s="11" t="str">
        <x:v>2026-10-05</x:v>
      </x:c>
      <x:c r="S211" s="11" t="str">
        <x:v>gsc-pop-1142459</x:v>
      </x:c>
      <x:c r="T211" s="11" t="str">
        <x:v>https://www.goodsmile.com/en/product/1142459</x:v>
      </x:c>
    </x:row>
    <x:row r="212" ht="111" customHeight="1">
      <x:c r="A212" s="11" t="str">
        <x:v>POP UP PARADE Polyurethane</x:v>
      </x:c>
      <x:c r="B212" s="11" t="str">
        <x:v>Good Smile Company</x:v>
      </x:c>
      <x:c r="C212" s="12" t="str">
        <x:v>固定姿势</x:v>
      </x:c>
      <x:c r="D212" s="13" t="str">
        <x:v>涂装成品、计划商品</x:v>
      </x:c>
      <x:c r="E212" s="20" t="str">
        <x:v>无固定比例</x:v>
      </x:c>
      <x:c r="F212" s="21" t="n">
        <x:v>140</x:v>
      </x:c>
      <x:c r="G212" s="16" t="str">
        <x:v>官方本款规格的约全高；是否计入底座未单独说明</x:v>
      </x:c>
      <x:c r="H212" s="17" t="str">
        <x:v>未披露</x:v>
      </x:c>
      <x:c r="I212" s="18" t="str">
        <x:v>塑料</x:v>
      </x:c>
      <x:c r="J212" s="19" t="str">
        <x:v>静态手办</x:v>
      </x:c>
      <x:c r="K212" s="11" t="str">
        <x:v>POP UP PARADE Polyurethane</x:v>
      </x:c>
      <x:c r="L212" s="11" t="str">
        <x:v>未单独核对</x:v>
      </x:c>
      <x:c r="M212" s="11" t="str">
        <x:v>未披露</x:v>
      </x:c>
      <x:c r="N212" s="11" t="str">
        <x:v>本款官方产品页版本；再版与配色名称按原始商品名保留，不推断所有批次。</x:v>
      </x:c>
      <x:c r="O212" s="11" t="str">
        <x:v>高度 14 cm（官方本款规格的约全高；是否计入底座未单独说明）</x:v>
      </x:c>
      <x:c r="P212" s="11" t="str">
        <x:v>本款规格：无固定比例；高度 14 cm（官方本款规格的约全高；是否计入底座未单独说明）；材料：塑料；交付：涂装成品、计划商品。
版本与商品范围：原始商品名：POP UP PARADE Polyurethane。作品／产品线：New PANTY &amp; STOCKING with GARTERBELT。官方页面标示出货月：2027-01；计划月份不作为已出货证明。
换件与适配：页面未明确布衣穿脱或跨产品换件范围。跨品牌接口、身体和衣物互换不从系列名称推断；具体限制应以本款产品页为准。</x:v>
      </x:c>
      <x:c r="Q212" s="11" t="str">
        <x:v>未取得产品对应证据</x:v>
      </x:c>
      <x:c r="R212" s="11" t="str">
        <x:v>2026-10-05</x:v>
      </x:c>
      <x:c r="S212" s="11" t="str">
        <x:v>gsc-pop-1142458</x:v>
      </x:c>
      <x:c r="T212" s="11" t="str">
        <x:v>https://www.goodsmile.com/en/product/1142458</x:v>
      </x:c>
    </x:row>
    <x:row r="213" ht="111" customHeight="1">
      <x:c r="A213" s="11" t="str">
        <x:v>POP UP PARADE Aura</x:v>
      </x:c>
      <x:c r="B213" s="11" t="str">
        <x:v>Good Smile Company</x:v>
      </x:c>
      <x:c r="C213" s="12" t="str">
        <x:v>固定姿势</x:v>
      </x:c>
      <x:c r="D213" s="13" t="str">
        <x:v>涂装成品、计划商品</x:v>
      </x:c>
      <x:c r="E213" s="20" t="str">
        <x:v>无固定比例</x:v>
      </x:c>
      <x:c r="F213" s="21" t="n">
        <x:v>170</x:v>
      </x:c>
      <x:c r="G213" s="16" t="str">
        <x:v>官方本款规格的约全高；是否计入底座未单独说明</x:v>
      </x:c>
      <x:c r="H213" s="17" t="str">
        <x:v>未披露</x:v>
      </x:c>
      <x:c r="I213" s="18" t="str">
        <x:v>塑料</x:v>
      </x:c>
      <x:c r="J213" s="19" t="str">
        <x:v>静态手办</x:v>
      </x:c>
      <x:c r="K213" s="11" t="str">
        <x:v>POP UP PARADE Aura</x:v>
      </x:c>
      <x:c r="L213" s="11" t="str">
        <x:v>未单独核对</x:v>
      </x:c>
      <x:c r="M213" s="11" t="str">
        <x:v>未披露</x:v>
      </x:c>
      <x:c r="N213" s="11" t="str">
        <x:v>本款官方产品页版本；再版与配色名称按原始商品名保留，不推断所有批次。</x:v>
      </x:c>
      <x:c r="O213" s="11" t="str">
        <x:v>高度 17 cm（官方本款规格的约全高；是否计入底座未单独说明）</x:v>
      </x:c>
      <x:c r="P213" s="11" t="str">
        <x:v>本款规格：无固定比例；高度 17 cm（官方本款规格的约全高；是否计入底座未单独说明）；材料：塑料；交付：涂装成品、计划商品。
版本与商品范围：原始商品名：POP UP PARADE Aura。作品／产品线：Frieren: Beyond Journey's End。官方页面标示出货月：2026-12；计划月份不作为已出货证明。
换件与适配：页面未明确布衣穿脱或跨产品换件范围。跨品牌接口、身体和衣物互换不从系列名称推断；具体限制应以本款产品页为准。</x:v>
      </x:c>
      <x:c r="Q213" s="11" t="str">
        <x:v>未取得产品对应证据</x:v>
      </x:c>
      <x:c r="R213" s="11" t="str">
        <x:v>2026-10-05</x:v>
      </x:c>
      <x:c r="S213" s="11" t="str">
        <x:v>gsc-pop-1137013</x:v>
      </x:c>
      <x:c r="T213" s="11" t="str">
        <x:v>https://www.goodsmile.com/en/product/1137013</x:v>
      </x:c>
    </x:row>
    <x:row r="214" ht="111" customHeight="1">
      <x:c r="A214" s="11" t="str">
        <x:v>POP UP PARADE SP Cutie Honey</x:v>
      </x:c>
      <x:c r="B214" s="11" t="str">
        <x:v>Good Smile Company</x:v>
      </x:c>
      <x:c r="C214" s="12" t="str">
        <x:v>固定姿势</x:v>
      </x:c>
      <x:c r="D214" s="13" t="str">
        <x:v>涂装成品、计划商品</x:v>
      </x:c>
      <x:c r="E214" s="20" t="str">
        <x:v>无固定比例</x:v>
      </x:c>
      <x:c r="F214" s="21" t="n">
        <x:v>280</x:v>
      </x:c>
      <x:c r="G214" s="16" t="str">
        <x:v>官方本款规格的约全高；是否计入底座未单独说明</x:v>
      </x:c>
      <x:c r="H214" s="17" t="str">
        <x:v>未披露</x:v>
      </x:c>
      <x:c r="I214" s="18" t="str">
        <x:v>塑料</x:v>
      </x:c>
      <x:c r="J214" s="19" t="str">
        <x:v>静态手办</x:v>
      </x:c>
      <x:c r="K214" s="11" t="str">
        <x:v>POP UP PARADE SP Cutie Honey</x:v>
      </x:c>
      <x:c r="L214" s="11" t="str">
        <x:v>未单独核对</x:v>
      </x:c>
      <x:c r="M214" s="11" t="str">
        <x:v>未披露</x:v>
      </x:c>
      <x:c r="N214" s="11" t="str">
        <x:v>本款官方产品页版本；再版与配色名称按原始商品名保留，不推断所有批次。</x:v>
      </x:c>
      <x:c r="O214" s="11" t="str">
        <x:v>高度 28 cm（官方本款规格的约全高；是否计入底座未单独说明）</x:v>
      </x:c>
      <x:c r="P214" s="11" t="str">
        <x:v>本款规格：无固定比例；高度 28 cm（官方本款规格的约全高；是否计入底座未单独说明）；材料：塑料；交付：涂装成品、计划商品。
版本与商品范围：原始商品名：POP UP PARADE SP Cutie Honey。作品／产品线：Cutie Honey Nova。官方页面标示出货月：2026-11；计划月份不作为已出货证明。
换件与适配：页面未明确布衣穿脱或跨产品换件范围。跨品牌接口、身体和衣物互换不从系列名称推断；具体限制应以本款产品页为准。</x:v>
      </x:c>
      <x:c r="Q214" s="11" t="str">
        <x:v>未取得产品对应证据</x:v>
      </x:c>
      <x:c r="R214" s="11" t="str">
        <x:v>2026-10-05</x:v>
      </x:c>
      <x:c r="S214" s="11" t="str">
        <x:v>gsc-pop-1142837</x:v>
      </x:c>
      <x:c r="T214" s="11" t="str">
        <x:v>https://www.goodsmile.com/en/product/1142837</x:v>
      </x:c>
    </x:row>
    <x:row r="215" ht="138" customHeight="1">
      <x:c r="A215" s="11" t="str">
        <x:v>chitocerium chirality I-hydra</x:v>
      </x:c>
      <x:c r="B215" s="11" t="str">
        <x:v>Good Smile Company</x:v>
      </x:c>
      <x:c r="C215" s="12" t="str">
        <x:v>连接待核实</x:v>
      </x:c>
      <x:c r="D215" s="13" t="str">
        <x:v>待拼装</x:v>
      </x:c>
      <x:c r="E215" s="20" t="str">
        <x:v>比例 1:1</x:v>
      </x:c>
      <x:c r="F215" s="21" t="n">
        <x:v>170</x:v>
      </x:c>
      <x:c r="G215" s="16" t="str">
        <x:v>官方本款规格的约全高；是否计入底座未单独说明</x:v>
      </x:c>
      <x:c r="H215" s="17" t="str">
        <x:v>未披露</x:v>
      </x:c>
      <x:c r="I215" s="18" t="str">
        <x:v>塑料</x:v>
      </x:c>
      <x:c r="J215" s="19" t="str">
        <x:v>角色人形</x:v>
      </x:c>
      <x:c r="K215" s="11" t="str">
        <x:v>chitocerium chirality I-hydra</x:v>
      </x:c>
      <x:c r="L215" s="11" t="str">
        <x:v>未单独核对</x:v>
      </x:c>
      <x:c r="M215" s="11" t="str">
        <x:v>未披露</x:v>
      </x:c>
      <x:c r="N215" s="11" t="str">
        <x:v>本款官方产品页版本；再版与配色名称按原始商品名保留，不推断所有批次。</x:v>
      </x:c>
      <x:c r="O215" s="11" t="str">
        <x:v>头顶高度 17 cm（官方本款规格的约全高；是否计入底座未单独说明）</x:v>
      </x:c>
      <x:c r="P215" s="11" t="str">
        <x:v>本款规格：比例 1:1；头顶高度 17 cm（官方本款规格的约全高；是否计入底座未单独说明）；材料：塑料；交付：待拼装。
版本与商品范围：原始商品名：chitocerium chirality I-hydra。作品／产品线：chitocerium。官方页面标示出货月：2026-05；计划月份不作为已出货证明。
换件与适配：页面未明确布衣穿脱或跨产品换件范围。跨品牌接口、身体和衣物互换不从系列名称推断；具体限制应以本款产品页为准。
比例基准：比例依作品中设定的人偶尺寸标注，不能将 1:1 或 2:1 换算为真人身高。</x:v>
      </x:c>
      <x:c r="Q215" s="11" t="str">
        <x:v>未取得产品对应证据</x:v>
      </x:c>
      <x:c r="R215" s="11" t="str">
        <x:v>2026-10-05</x:v>
      </x:c>
      <x:c r="S215" s="11" t="str">
        <x:v>gsc-chito-1138464</x:v>
      </x:c>
      <x:c r="T215" s="11" t="str">
        <x:v>https://www.goodsmile.com/en/product/1138464</x:v>
      </x:c>
    </x:row>
    <x:row r="216" ht="123" customHeight="1">
      <x:c r="A216" s="11" t="str">
        <x:v>chitocerium I-hydra</x:v>
      </x:c>
      <x:c r="B216" s="11" t="str">
        <x:v>Good Smile Company</x:v>
      </x:c>
      <x:c r="C216" s="12" t="str">
        <x:v>连接待核实</x:v>
      </x:c>
      <x:c r="D216" s="13" t="str">
        <x:v>待拼装</x:v>
      </x:c>
      <x:c r="E216" s="20" t="str">
        <x:v>比例 1:1</x:v>
      </x:c>
      <x:c r="F216" s="21" t="n">
        <x:v>170</x:v>
      </x:c>
      <x:c r="G216" s="16" t="str">
        <x:v>官方本款规格的约全高；是否计入底座未单独说明</x:v>
      </x:c>
      <x:c r="H216" s="17" t="str">
        <x:v>未披露</x:v>
      </x:c>
      <x:c r="I216" s="18" t="str">
        <x:v>塑料</x:v>
      </x:c>
      <x:c r="J216" s="19" t="str">
        <x:v>角色人形</x:v>
      </x:c>
      <x:c r="K216" s="11" t="str">
        <x:v>chitocerium I-hydra</x:v>
      </x:c>
      <x:c r="L216" s="11" t="str">
        <x:v>未单独核对</x:v>
      </x:c>
      <x:c r="M216" s="11" t="str">
        <x:v>未披露</x:v>
      </x:c>
      <x:c r="N216" s="11" t="str">
        <x:v>本款官方产品页版本；再版与配色名称按原始商品名保留，不推断所有批次。</x:v>
      </x:c>
      <x:c r="O216" s="11" t="str">
        <x:v>人形高度 17 cm（官方本款规格的约全高；是否计入底座未单独说明）</x:v>
      </x:c>
      <x:c r="P216" s="11" t="str">
        <x:v>本款规格：比例 1:1；人形高度 17 cm（官方本款规格的约全高；是否计入底座未单独说明）；材料：塑料；交付：待拼装。
版本与商品范围：原始商品名：chitocerium I-hydra。作品／产品线：chitocerium。官方页面标示出货月：2025-02；计划月份不作为已出货证明。
换件与适配：页面未明确布衣穿脱或跨产品换件范围。跨品牌接口、身体和衣物互换不从系列名称推断；具体限制应以本款产品页为准。
比例基准：比例依作品中设定的人偶尺寸标注，不能将 1:1 或 2:1 换算为真人身高。</x:v>
      </x:c>
      <x:c r="Q216" s="11" t="str">
        <x:v>未取得产品对应证据</x:v>
      </x:c>
      <x:c r="R216" s="11" t="str">
        <x:v>2026-10-05</x:v>
      </x:c>
      <x:c r="S216" s="11" t="str">
        <x:v>gsc-chito-59941</x:v>
      </x:c>
      <x:c r="T216" s="11" t="str">
        <x:v>https://www.goodsmile.com/en/product/59941</x:v>
      </x:c>
    </x:row>
    <x:row r="217" ht="138" customHeight="1">
      <x:c r="A217" s="11" t="str">
        <x:v>chitocerium VI-carbonia graphites</x:v>
      </x:c>
      <x:c r="B217" s="11" t="str">
        <x:v>Good Smile Company</x:v>
      </x:c>
      <x:c r="C217" s="12" t="str">
        <x:v>连接待核实</x:v>
      </x:c>
      <x:c r="D217" s="13" t="str">
        <x:v>待拼装</x:v>
      </x:c>
      <x:c r="E217" s="20" t="str">
        <x:v>比例 1:1</x:v>
      </x:c>
      <x:c r="F217" s="21" t="n">
        <x:v>155</x:v>
      </x:c>
      <x:c r="G217" s="16" t="str">
        <x:v>官方本款规格的约全高；是否计入底座未单独说明</x:v>
      </x:c>
      <x:c r="H217" s="17" t="str">
        <x:v>换脸</x:v>
      </x:c>
      <x:c r="I217" s="18" t="str">
        <x:v>塑料</x:v>
      </x:c>
      <x:c r="J217" s="19" t="str">
        <x:v>角色人形</x:v>
      </x:c>
      <x:c r="K217" s="11" t="str">
        <x:v>chitocerium VI-carbonia graphites</x:v>
      </x:c>
      <x:c r="L217" s="11" t="str">
        <x:v>未单独核对</x:v>
      </x:c>
      <x:c r="M217" s="11" t="str">
        <x:v>未披露</x:v>
      </x:c>
      <x:c r="N217" s="11" t="str">
        <x:v>本款官方产品页版本；再版与配色名称按原始商品名保留，不推断所有批次。</x:v>
      </x:c>
      <x:c r="O217" s="11" t="str">
        <x:v>人形高度 15.5 cm（官方本款规格的约全高；是否计入底座未单独说明）</x:v>
      </x:c>
      <x:c r="P217" s="11" t="str">
        <x:v>本款规格：比例 1:1；人形高度 15.5 cm（官方本款规格的约全高；是否计入底座未单独说明）；材料：塑料；交付：待拼装。
版本与商品范围：原始商品名：chitocerium VI-carbonia graphites。作品／产品线：chitocerium。官方页面标示出货月：2023-12；计划月份不作为已出货证明。
换件与适配：来源明确的操作：换脸。跨品牌接口、身体和衣物互换不从系列名称推断；具体限制应以本款产品页为准。
比例基准：比例依作品中设定的人偶尺寸标注，不能将 1:1 或 2:1 换算为真人身高。</x:v>
      </x:c>
      <x:c r="Q217" s="11" t="str">
        <x:v>未取得产品对应证据</x:v>
      </x:c>
      <x:c r="R217" s="11" t="str">
        <x:v>2026-10-05</x:v>
      </x:c>
      <x:c r="S217" s="11" t="str">
        <x:v>gsc-chito-12146</x:v>
      </x:c>
      <x:c r="T217" s="11" t="str">
        <x:v>https://www.goodsmile.com/en/product/12146</x:v>
      </x:c>
    </x:row>
    <x:row r="218" ht="123" customHeight="1">
      <x:c r="A218" s="11" t="str">
        <x:v>chitocerium LXXVIII-platinum 1.5</x:v>
      </x:c>
      <x:c r="B218" s="11" t="str">
        <x:v>Good Smile Company</x:v>
      </x:c>
      <x:c r="C218" s="12" t="str">
        <x:v>连接待核实</x:v>
      </x:c>
      <x:c r="D218" s="13" t="str">
        <x:v>待拼装</x:v>
      </x:c>
      <x:c r="E218" s="20" t="str">
        <x:v>比例 1:1</x:v>
      </x:c>
      <x:c r="F218" s="21" t="n">
        <x:v>200</x:v>
      </x:c>
      <x:c r="G218" s="16" t="str">
        <x:v>官方本款规格的约全高；是否计入底座未单独说明</x:v>
      </x:c>
      <x:c r="H218" s="17" t="str">
        <x:v>换脸</x:v>
      </x:c>
      <x:c r="I218" s="18" t="str">
        <x:v>塑料</x:v>
      </x:c>
      <x:c r="J218" s="19" t="str">
        <x:v>角色人形</x:v>
      </x:c>
      <x:c r="K218" s="11" t="str">
        <x:v>chitocerium LXXVIII-platinum 1.5</x:v>
      </x:c>
      <x:c r="L218" s="11" t="str">
        <x:v>未单独核对</x:v>
      </x:c>
      <x:c r="M218" s="11" t="str">
        <x:v>未披露</x:v>
      </x:c>
      <x:c r="N218" s="11" t="str">
        <x:v>本款官方产品页版本；再版与配色名称按原始商品名保留，不推断所有批次。</x:v>
      </x:c>
      <x:c r="O218" s="11" t="str">
        <x:v>高度 20 cm（官方本款规格的约全高；是否计入底座未单独说明）</x:v>
      </x:c>
      <x:c r="P218" s="11" t="str">
        <x:v>本款规格：比例 1:1；高度 20 cm（官方本款规格的约全高；是否计入底座未单独说明）；材料：塑料；交付：待拼装。
版本与商品范围：原始商品名：chitocerium LXXVIII-platinum 1.5。作品／产品线：chitocerium。官方页面标示出货月：2023-01；计划月份不作为已出货证明。
换件与适配：来源明确的操作：换脸。跨品牌接口、身体和衣物互换不从系列名称推断；具体限制应以本款产品页为准。
比例基准：比例依作品中设定的人偶尺寸标注，不能将 1:1 或 2:1 换算为真人身高。</x:v>
      </x:c>
      <x:c r="Q218" s="11" t="str">
        <x:v>未取得产品对应证据</x:v>
      </x:c>
      <x:c r="R218" s="11" t="str">
        <x:v>2026-10-05</x:v>
      </x:c>
      <x:c r="S218" s="11" t="str">
        <x:v>gsc-chito-10892</x:v>
      </x:c>
      <x:c r="T218" s="11" t="str">
        <x:v>https://www.goodsmile.com/en/product/10892</x:v>
      </x:c>
    </x:row>
    <x:row r="219" ht="138" customHeight="1">
      <x:c r="A219" s="11" t="str">
        <x:v>chitocerium nightmare XCIX-albere &amp; C-efer</x:v>
      </x:c>
      <x:c r="B219" s="11" t="str">
        <x:v>Good Smile Company</x:v>
      </x:c>
      <x:c r="C219" s="12" t="str">
        <x:v>连接待核实</x:v>
      </x:c>
      <x:c r="D219" s="13" t="str">
        <x:v>待拼装</x:v>
      </x:c>
      <x:c r="E219" s="20" t="str">
        <x:v>比例 1:1</x:v>
      </x:c>
      <x:c r="F219" s="21" t="n">
        <x:v>120</x:v>
      </x:c>
      <x:c r="G219" s="16" t="str">
        <x:v>官方本款规格的约全高；是否计入底座未单独说明</x:v>
      </x:c>
      <x:c r="H219" s="17" t="str">
        <x:v>换脸</x:v>
      </x:c>
      <x:c r="I219" s="18" t="str">
        <x:v>ABS、PS</x:v>
      </x:c>
      <x:c r="J219" s="19" t="str">
        <x:v>角色人形</x:v>
      </x:c>
      <x:c r="K219" s="11" t="str">
        <x:v>chitocerium nightmare XCIX-albere &amp; C-efer</x:v>
      </x:c>
      <x:c r="L219" s="11" t="str">
        <x:v>未单独核对</x:v>
      </x:c>
      <x:c r="M219" s="11" t="str">
        <x:v>未披露</x:v>
      </x:c>
      <x:c r="N219" s="11" t="str">
        <x:v>本款官方产品页版本；再版与配色名称按原始商品名保留，不推断所有批次。</x:v>
      </x:c>
      <x:c r="O219" s="11" t="str">
        <x:v>人形高度 12 cm（官方本款规格的约全高；是否计入底座未单独说明）</x:v>
      </x:c>
      <x:c r="P219" s="11" t="str">
        <x:v>本款规格：比例 1:1；人形高度 12 cm（官方本款规格的约全高；是否计入底座未单独说明）；材料：ABS、PS；交付：待拼装。
版本与商品范围：原始商品名：chitocerium nightmare XCIX-albere &amp; C-efer。作品／产品线：chitocerium。官方页面标示出货月：2022-08；计划月份不作为已出货证明。
换件与适配：来源明确的操作：换脸。跨品牌接口、身体和衣物互换不从系列名称推断；具体限制应以本款产品页为准。
比例基准：比例依作品中设定的人偶尺寸标注，不能将 1:1 或 2:1 换算为真人身高。</x:v>
      </x:c>
      <x:c r="Q219" s="11" t="str">
        <x:v>Smile Fest 2022 Tokyo，2022-08-06 至 08-07：本款产品页明确现场销售。</x:v>
      </x:c>
      <x:c r="R219" s="11" t="str">
        <x:v>2026-10-05</x:v>
      </x:c>
      <x:c r="S219" s="11" t="str">
        <x:v>gsc-chito-10241</x:v>
      </x:c>
      <x:c r="T219" s="11" t="str">
        <x:v>https://www.goodsmile.com/en/product/10241</x:v>
      </x:c>
    </x:row>
    <x:row r="220" ht="165" customHeight="1">
      <x:c r="A220" s="11" t="str">
        <x:v>chitocerium XCII-urania</x:v>
      </x:c>
      <x:c r="B220" s="11" t="str">
        <x:v>Good Smile Company</x:v>
      </x:c>
      <x:c r="C220" s="12" t="str">
        <x:v>连接待核实</x:v>
      </x:c>
      <x:c r="D220" s="13" t="str">
        <x:v>待拼装</x:v>
      </x:c>
      <x:c r="E220" s="20" t="str">
        <x:v>比例 1:1</x:v>
      </x:c>
      <x:c r="F220" s="21"/>
      <x:c r="G220" s="16" t="str">
        <x:v>未披露</x:v>
      </x:c>
      <x:c r="H220" s="17" t="str">
        <x:v>换脸</x:v>
      </x:c>
      <x:c r="I220" s="18" t="str">
        <x:v>塑料</x:v>
      </x:c>
      <x:c r="J220" s="19" t="str">
        <x:v>角色人形</x:v>
      </x:c>
      <x:c r="K220" s="11" t="str">
        <x:v>chitocerium XCII-urania</x:v>
      </x:c>
      <x:c r="L220" s="11" t="str">
        <x:v>未单独核对</x:v>
      </x:c>
      <x:c r="M220" s="11" t="str">
        <x:v>未披露</x:v>
      </x:c>
      <x:c r="N220" s="11" t="str">
        <x:v>本款官方产品页版本；再版与配色名称按原始商品名保留，不推断所有批次。</x:v>
      </x:c>
      <x:c r="O220" s="11" t="str">
        <x:v>人形高度 12 cm（官方本款规格的约全高；是否计入底座未单独说明）
含笼架高度 22.5 cm（官方本款规格的约全高；是否计入底座未单独说明）</x:v>
      </x:c>
      <x:c r="P220" s="11" t="str">
        <x:v>本款规格：比例 1:1；人形高度 12 cm（官方本款规格的约全高；是否计入底座未单独说明）；含笼架高度 22.5 cm（官方本款规格的约全高；是否计入底座未单独说明）；材料：塑料；交付：待拼装。
版本与商品范围：原始商品名：chitocerium XCII-urania。作品／产品线：chitocerium。官方页面标示出货月：2022-08；计划月份不作为已出货证明。
换件与适配：来源明确的操作：换脸。跨品牌接口、身体和衣物互换不从系列名称推断；具体限制应以本款产品页为准。
多项尺寸口径：此产品页列出多个角色、部件或测量起止的高度，不选用其中一个数字代表全部；尺寸标签逐项保留，不画单一身高柱。
比例基准：比例依作品中设定的人偶尺寸标注，不能将 1:1 或 2:1 换算为真人身高。</x:v>
      </x:c>
      <x:c r="Q220" s="11" t="str">
        <x:v>未取得产品对应证据</x:v>
      </x:c>
      <x:c r="R220" s="11" t="str">
        <x:v>2026-10-05</x:v>
      </x:c>
      <x:c r="S220" s="11" t="str">
        <x:v>gsc-chito-9766</x:v>
      </x:c>
      <x:c r="T220" s="11" t="str">
        <x:v>https://www.goodsmile.com/en/product/9766</x:v>
      </x:c>
    </x:row>
    <x:row r="221" ht="123" customHeight="1">
      <x:c r="A221" s="11" t="str">
        <x:v>chitocerium VI-carbonia adamas</x:v>
      </x:c>
      <x:c r="B221" s="11" t="str">
        <x:v>Good Smile Company</x:v>
      </x:c>
      <x:c r="C221" s="12" t="str">
        <x:v>连接待核实</x:v>
      </x:c>
      <x:c r="D221" s="13" t="str">
        <x:v>待拼装</x:v>
      </x:c>
      <x:c r="E221" s="20" t="str">
        <x:v>比例 1:1</x:v>
      </x:c>
      <x:c r="F221" s="21" t="n">
        <x:v>155</x:v>
      </x:c>
      <x:c r="G221" s="16" t="str">
        <x:v>官方本款规格的约全高；是否计入底座未单独说明</x:v>
      </x:c>
      <x:c r="H221" s="17" t="str">
        <x:v>换脸</x:v>
      </x:c>
      <x:c r="I221" s="18" t="str">
        <x:v>ABS、PS</x:v>
      </x:c>
      <x:c r="J221" s="19" t="str">
        <x:v>角色人形</x:v>
      </x:c>
      <x:c r="K221" s="11" t="str">
        <x:v>chitocerium VI-carbonia adamas</x:v>
      </x:c>
      <x:c r="L221" s="11" t="str">
        <x:v>未单独核对</x:v>
      </x:c>
      <x:c r="M221" s="11" t="str">
        <x:v>未披露</x:v>
      </x:c>
      <x:c r="N221" s="11" t="str">
        <x:v>本款官方产品页版本；再版与配色名称按原始商品名保留，不推断所有批次。</x:v>
      </x:c>
      <x:c r="O221" s="11" t="str">
        <x:v>人形高度 15.5 cm（官方本款规格的约全高；是否计入底座未单独说明）</x:v>
      </x:c>
      <x:c r="P221" s="11" t="str">
        <x:v>本款规格：比例 1:1；人形高度 15.5 cm（官方本款规格的约全高；是否计入底座未单独说明）；材料：ABS、PS；交付：待拼装。
版本与商品范围：原始商品名：chitocerium VI-carbonia adamas。作品／产品线：chitocerium。此记录未单独核对历次发售、再版与当前库存。
换件与适配：来源明确的操作：换脸。跨品牌接口、身体和衣物互换不从系列名称推断；具体限制应以本款产品页为准。
比例基准：比例依作品中设定的人偶尺寸标注，不能将 1:1 或 2:1 换算为真人身高。</x:v>
      </x:c>
      <x:c r="Q221" s="11" t="str">
        <x:v>未取得产品对应证据</x:v>
      </x:c>
      <x:c r="R221" s="11" t="str">
        <x:v>2026-10-05</x:v>
      </x:c>
      <x:c r="S221" s="11" t="str">
        <x:v>gsc-chito-6300</x:v>
      </x:c>
      <x:c r="T221" s="11" t="str">
        <x:v>https://www.goodsmile.com/en/product/6300</x:v>
      </x:c>
    </x:row>
    <x:row r="222" ht="138" customHeight="1">
      <x:c r="A222" s="11" t="str">
        <x:v>chitocerium XCIX-albere &amp; C-efer</x:v>
      </x:c>
      <x:c r="B222" s="11" t="str">
        <x:v>Good Smile Company</x:v>
      </x:c>
      <x:c r="C222" s="12" t="str">
        <x:v>连接待核实</x:v>
      </x:c>
      <x:c r="D222" s="13" t="str">
        <x:v>待拼装</x:v>
      </x:c>
      <x:c r="E222" s="20" t="str">
        <x:v>比例 1:1</x:v>
      </x:c>
      <x:c r="F222" s="21" t="n">
        <x:v>120</x:v>
      </x:c>
      <x:c r="G222" s="16" t="str">
        <x:v>官方本款规格的约全高；是否计入底座未单独说明</x:v>
      </x:c>
      <x:c r="H222" s="17" t="str">
        <x:v>换脸</x:v>
      </x:c>
      <x:c r="I222" s="18" t="str">
        <x:v>ABS、PS</x:v>
      </x:c>
      <x:c r="J222" s="19" t="str">
        <x:v>角色人形</x:v>
      </x:c>
      <x:c r="K222" s="11" t="str">
        <x:v>chitocerium XCIX-albere &amp; C-efer</x:v>
      </x:c>
      <x:c r="L222" s="11" t="str">
        <x:v>未单独核对</x:v>
      </x:c>
      <x:c r="M222" s="11" t="str">
        <x:v>未披露</x:v>
      </x:c>
      <x:c r="N222" s="11" t="str">
        <x:v>本款官方产品页版本；再版与配色名称按原始商品名保留，不推断所有批次。</x:v>
      </x:c>
      <x:c r="O222" s="11" t="str">
        <x:v>人形高度 12 cm（官方本款规格的约全高；是否计入底座未单独说明）</x:v>
      </x:c>
      <x:c r="P222" s="11" t="str">
        <x:v>本款规格：比例 1:1；人形高度 12 cm（官方本款规格的约全高；是否计入底座未单独说明）；材料：ABS、PS；交付：待拼装。
版本与商品范围：原始商品名：chitocerium XCIX-albere &amp; C-efer。作品／产品线：chitocerium。官方页面标示出货月：2021-10；计划月份不作为已出货证明。
换件与适配：来源明确的操作：换脸。跨品牌接口、身体和衣物互换不从系列名称推断；具体限制应以本款产品页为准。
比例基准：比例依作品中设定的人偶尺寸标注，不能将 1:1 或 2:1 换算为真人身高。</x:v>
      </x:c>
      <x:c r="Q222" s="11" t="str">
        <x:v>未取得产品对应证据</x:v>
      </x:c>
      <x:c r="R222" s="11" t="str">
        <x:v>2026-10-05</x:v>
      </x:c>
      <x:c r="S222" s="11" t="str">
        <x:v>gsc-chito-32646</x:v>
      </x:c>
      <x:c r="T222" s="11" t="str">
        <x:v>https://www.goodsmile.com/en/product/32646</x:v>
      </x:c>
    </x:row>
    <x:row r="223" ht="123" customHeight="1">
      <x:c r="A223" s="11" t="str">
        <x:v>chitocerium LXXVIII-platinum</x:v>
      </x:c>
      <x:c r="B223" s="11" t="str">
        <x:v>Good Smile Company</x:v>
      </x:c>
      <x:c r="C223" s="12" t="str">
        <x:v>连接待核实</x:v>
      </x:c>
      <x:c r="D223" s="13" t="str">
        <x:v>待拼装</x:v>
      </x:c>
      <x:c r="E223" s="20" t="str">
        <x:v>比例 1:1</x:v>
      </x:c>
      <x:c r="F223" s="21" t="n">
        <x:v>200</x:v>
      </x:c>
      <x:c r="G223" s="16" t="str">
        <x:v>官方本款规格的约全高；是否计入底座未单独说明</x:v>
      </x:c>
      <x:c r="H223" s="17" t="str">
        <x:v>换脸</x:v>
      </x:c>
      <x:c r="I223" s="18" t="str">
        <x:v>ABS、PS</x:v>
      </x:c>
      <x:c r="J223" s="19" t="str">
        <x:v>角色人形</x:v>
      </x:c>
      <x:c r="K223" s="11" t="str">
        <x:v>chitocerium LXXVIII-platinum</x:v>
      </x:c>
      <x:c r="L223" s="11" t="str">
        <x:v>未单独核对</x:v>
      </x:c>
      <x:c r="M223" s="11" t="str">
        <x:v>未披露</x:v>
      </x:c>
      <x:c r="N223" s="11" t="str">
        <x:v>本款官方产品页版本；再版与配色名称按原始商品名保留，不推断所有批次。</x:v>
      </x:c>
      <x:c r="O223" s="11" t="str">
        <x:v>高度 20 cm（官方本款规格的约全高；是否计入底座未单独说明）</x:v>
      </x:c>
      <x:c r="P223" s="11" t="str">
        <x:v>本款规格：比例 1:1；高度 20 cm（官方本款规格的约全高；是否计入底座未单独说明）；材料：ABS、PS；交付：待拼装。
版本与商品范围：原始商品名：chitocerium LXXVIII-platinum。作品／产品线：chitocerium。此记录未单独核对历次发售、再版与当前库存。
换件与适配：来源明确的操作：换脸。跨品牌接口、身体和衣物互换不从系列名称推断；具体限制应以本款产品页为准。
比例基准：比例依作品中设定的人偶尺寸标注，不能将 1:1 或 2:1 换算为真人身高。</x:v>
      </x:c>
      <x:c r="Q223" s="11" t="str">
        <x:v>未取得产品对应证据</x:v>
      </x:c>
      <x:c r="R223" s="11" t="str">
        <x:v>2026-10-05</x:v>
      </x:c>
      <x:c r="S223" s="11" t="str">
        <x:v>gsc-chito-5770</x:v>
      </x:c>
      <x:c r="T223" s="11" t="str">
        <x:v>https://www.goodsmile.com/en/product/5770</x:v>
      </x:c>
    </x:row>
    <x:row r="224" ht="138" customHeight="1">
      <x:c r="A224" s="11" t="str">
        <x:v>chitocerium VI-carbonia lonsdaleite</x:v>
      </x:c>
      <x:c r="B224" s="11" t="str">
        <x:v>Good Smile Company</x:v>
      </x:c>
      <x:c r="C224" s="12" t="str">
        <x:v>连接待核实</x:v>
      </x:c>
      <x:c r="D224" s="13" t="str">
        <x:v>待拼装</x:v>
      </x:c>
      <x:c r="E224" s="20" t="str">
        <x:v>比例 1:1</x:v>
      </x:c>
      <x:c r="F224" s="21" t="n">
        <x:v>155</x:v>
      </x:c>
      <x:c r="G224" s="16" t="str">
        <x:v>官方本款规格的约全高；是否计入底座未单独说明</x:v>
      </x:c>
      <x:c r="H224" s="17" t="str">
        <x:v>换脸</x:v>
      </x:c>
      <x:c r="I224" s="18" t="str">
        <x:v>ABS、PS</x:v>
      </x:c>
      <x:c r="J224" s="19" t="str">
        <x:v>角色人形</x:v>
      </x:c>
      <x:c r="K224" s="11" t="str">
        <x:v>chitocerium VI-carbonia lonsdaleite</x:v>
      </x:c>
      <x:c r="L224" s="11" t="str">
        <x:v>未单独核对</x:v>
      </x:c>
      <x:c r="M224" s="11" t="str">
        <x:v>未披露</x:v>
      </x:c>
      <x:c r="N224" s="11" t="str">
        <x:v>本款官方产品页版本；再版与配色名称按原始商品名保留，不推断所有批次。</x:v>
      </x:c>
      <x:c r="O224" s="11" t="str">
        <x:v>人形高度 15.5 cm（官方本款规格的约全高；是否计入底座未单独说明）</x:v>
      </x:c>
      <x:c r="P224" s="11" t="str">
        <x:v>本款规格：比例 1:1；人形高度 15.5 cm（官方本款规格的约全高；是否计入底座未单独说明）；材料：ABS、PS；交付：待拼装。
版本与商品范围：原始商品名：chitocerium VI-carbonia lonsdaleite。作品／产品线：chitocerium。官方页面标示出货月：2021-10；计划月份不作为已出货证明。
换件与适配：来源明确的操作：换脸。跨品牌接口、身体和衣物互换不从系列名称推断；具体限制应以本款产品页为准。
比例基准：比例依作品中设定的人偶尺寸标注，不能将 1:1 或 2:1 换算为真人身高。</x:v>
      </x:c>
      <x:c r="Q224" s="11" t="str">
        <x:v>未取得产品对应证据</x:v>
      </x:c>
      <x:c r="R224" s="11" t="str">
        <x:v>2026-10-05</x:v>
      </x:c>
      <x:c r="S224" s="11" t="str">
        <x:v>gsc-chito-7116</x:v>
      </x:c>
      <x:c r="T224" s="11" t="str">
        <x:v>https://www.goodsmile.com/en/product/7116</x:v>
      </x:c>
    </x:row>
    <x:row r="225" ht="111" customHeight="1">
      <x:c r="A225" s="11" t="str">
        <x:v>PLAMATEA Mari Makinami Illustrious</x:v>
      </x:c>
      <x:c r="B225" s="11" t="str">
        <x:v>Good Smile Company</x:v>
      </x:c>
      <x:c r="C225" s="12" t="str">
        <x:v>关节可动</x:v>
      </x:c>
      <x:c r="D225" s="13" t="str">
        <x:v>待拼装、计划商品</x:v>
      </x:c>
      <x:c r="E225" s="20" t="str">
        <x:v>无固定比例</x:v>
      </x:c>
      <x:c r="F225" s="21" t="n">
        <x:v>175</x:v>
      </x:c>
      <x:c r="G225" s="16" t="str">
        <x:v>官方本款规格的约全高；是否计入底座未单独说明</x:v>
      </x:c>
      <x:c r="H225" s="17" t="str">
        <x:v>换手、水贴定制</x:v>
      </x:c>
      <x:c r="I225" s="18" t="str">
        <x:v>塑料</x:v>
      </x:c>
      <x:c r="J225" s="19" t="str">
        <x:v>角色人形</x:v>
      </x:c>
      <x:c r="K225" s="11" t="str">
        <x:v>PLAMATEA Mari Makinami Illustrious</x:v>
      </x:c>
      <x:c r="L225" s="11" t="str">
        <x:v>未单独核对</x:v>
      </x:c>
      <x:c r="M225" s="11" t="str">
        <x:v>未披露</x:v>
      </x:c>
      <x:c r="N225" s="11" t="str">
        <x:v>本款官方产品页版本；再版与配色名称按原始商品名保留，不推断所有批次。</x:v>
      </x:c>
      <x:c r="O225" s="11" t="str">
        <x:v>高度 17.5 cm（官方本款规格的约全高；是否计入底座未单独说明）</x:v>
      </x:c>
      <x:c r="P225" s="11" t="str">
        <x:v>本款规格：无固定比例；高度 17.5 cm（官方本款规格的约全高；是否计入底座未单独说明）；材料：塑料；交付：待拼装、计划商品。
版本与商品范围：原始商品名：PLAMATEA Mari Makinami Illustrious。作品／产品线：Rebuild of Evangelion。官方页面标示出货月：2027-05；计划月份不作为已出货证明。
换件与适配：来源明确的操作：换手、水贴定制。跨品牌接口、身体和衣物互换不从系列名称推断；具体限制应以本款产品页为准。</x:v>
      </x:c>
      <x:c r="Q225" s="11" t="str">
        <x:v>未取得产品对应证据</x:v>
      </x:c>
      <x:c r="R225" s="11" t="str">
        <x:v>2026-10-05</x:v>
      </x:c>
      <x:c r="S225" s="11" t="str">
        <x:v>gsc-plamatea-1139093</x:v>
      </x:c>
      <x:c r="T225" s="11" t="str">
        <x:v>https://www.goodsmile.com/en/product/1139093</x:v>
      </x:c>
    </x:row>
    <x:row r="226" ht="110" customHeight="1">
      <x:c r="A226" s="11" t="str">
        <x:v>PLAMATEA Armored Soldier of Unknown Affiliation</x:v>
      </x:c>
      <x:c r="B226" s="11" t="str">
        <x:v>Good Smile Company</x:v>
      </x:c>
      <x:c r="C226" s="12" t="str">
        <x:v>关节可动</x:v>
      </x:c>
      <x:c r="D226" s="13" t="str">
        <x:v>待拼装、计划商品</x:v>
      </x:c>
      <x:c r="E226" s="20" t="str">
        <x:v>无固定比例</x:v>
      </x:c>
      <x:c r="F226" s="21"/>
      <x:c r="G226" s="16" t="str">
        <x:v>未披露</x:v>
      </x:c>
      <x:c r="H226" s="17" t="str">
        <x:v>换手</x:v>
      </x:c>
      <x:c r="I226" s="18" t="str">
        <x:v>塑料</x:v>
      </x:c>
      <x:c r="J226" s="19" t="str">
        <x:v>角色人形</x:v>
      </x:c>
      <x:c r="K226" s="11" t="str">
        <x:v>PLAMATEA Armored Soldier of Unknown Affiliation</x:v>
      </x:c>
      <x:c r="L226" s="11" t="str">
        <x:v>未单独核对</x:v>
      </x:c>
      <x:c r="M226" s="11" t="str">
        <x:v>未披露</x:v>
      </x:c>
      <x:c r="N226" s="11" t="str">
        <x:v>本款官方产品页版本；再版与配色名称按原始商品名保留，不推断所有批次。</x:v>
      </x:c>
      <x:c r="O226" s="11" t="str">
        <x:v>未披露</x:v>
      </x:c>
      <x:c r="P226" s="11" t="str">
        <x:v>本款规格：无固定比例；材料：塑料；交付：待拼装、计划商品。
版本与商品范围：原始商品名：PLAMATEA Armored Soldier of Unknown Affiliation。作品／产品线：Dolls Nest。官方页面标示出货月：2027-06；计划月份不作为已出货证明。
换件与适配：来源明确的操作：换手。跨品牌接口、身体和衣物互换不从系列名称推断；具体限制应以本款产品页为准。</x:v>
      </x:c>
      <x:c r="Q226" s="11" t="str">
        <x:v>未取得产品对应证据</x:v>
      </x:c>
      <x:c r="R226" s="11" t="str">
        <x:v>2026-10-05</x:v>
      </x:c>
      <x:c r="S226" s="11" t="str">
        <x:v>gsc-plamatea-1139114</x:v>
      </x:c>
      <x:c r="T226" s="11" t="str">
        <x:v>https://www.goodsmile.com/en/product/1139114</x:v>
      </x:c>
    </x:row>
    <x:row r="227" ht="111" customHeight="1">
      <x:c r="A227" s="11" t="str">
        <x:v>PLAMATEA Hurricane Honey</x:v>
      </x:c>
      <x:c r="B227" s="11" t="str">
        <x:v>Good Smile Company</x:v>
      </x:c>
      <x:c r="C227" s="12" t="str">
        <x:v>关节可动</x:v>
      </x:c>
      <x:c r="D227" s="13" t="str">
        <x:v>待拼装、计划商品</x:v>
      </x:c>
      <x:c r="E227" s="20" t="str">
        <x:v>无固定比例</x:v>
      </x:c>
      <x:c r="F227" s="21" t="n">
        <x:v>170</x:v>
      </x:c>
      <x:c r="G227" s="16" t="str">
        <x:v>官方本款规格的约全高；是否计入底座未单独说明</x:v>
      </x:c>
      <x:c r="H227" s="17" t="str">
        <x:v>换脸、换手、水贴定制</x:v>
      </x:c>
      <x:c r="I227" s="18" t="str">
        <x:v>塑料</x:v>
      </x:c>
      <x:c r="J227" s="19" t="str">
        <x:v>角色人形</x:v>
      </x:c>
      <x:c r="K227" s="11" t="str">
        <x:v>PLAMATEA Hurricane Honey</x:v>
      </x:c>
      <x:c r="L227" s="11" t="str">
        <x:v>未单独核对</x:v>
      </x:c>
      <x:c r="M227" s="11" t="str">
        <x:v>未披露</x:v>
      </x:c>
      <x:c r="N227" s="11" t="str">
        <x:v>本款官方产品页版本；再版与配色名称按原始商品名保留，不推断所有批次。</x:v>
      </x:c>
      <x:c r="O227" s="11" t="str">
        <x:v>Hurricane Honey · 高度 17 cm（官方本款规格的约全高；是否计入底座未单独说明）</x:v>
      </x:c>
      <x:c r="P227" s="11" t="str">
        <x:v>本款规格：无固定比例；Hurricane Honey · 高度 17 cm（官方本款规格的约全高；是否计入底座未单独说明）；材料：塑料；交付：待拼装、计划商品。
版本与商品范围：原始商品名：PLAMATEA Hurricane Honey。作品／产品线：Cutie Honey Nova。官方页面标示出货月：2027-07；计划月份不作为已出货证明。
换件与适配：来源明确的操作：换脸、换手、水贴定制。跨品牌接口、身体和衣物互换不从系列名称推断；具体限制应以本款产品页为准。</x:v>
      </x:c>
      <x:c r="Q227" s="11" t="str">
        <x:v>未取得产品对应证据</x:v>
      </x:c>
      <x:c r="R227" s="11" t="str">
        <x:v>2026-10-05</x:v>
      </x:c>
      <x:c r="S227" s="11" t="str">
        <x:v>gsc-plamatea-1145409</x:v>
      </x:c>
      <x:c r="T227" s="11" t="str">
        <x:v>https://www.goodsmile.com/en/product/1145409</x:v>
      </x:c>
    </x:row>
    <x:row r="228" ht="110" customHeight="1">
      <x:c r="A228" s="11" t="str">
        <x:v>PLAMATEA Honey Chaser</x:v>
      </x:c>
      <x:c r="B228" s="11" t="str">
        <x:v>Good Smile Company</x:v>
      </x:c>
      <x:c r="C228" s="12" t="str">
        <x:v>关节可动</x:v>
      </x:c>
      <x:c r="D228" s="13" t="str">
        <x:v>待拼装、计划商品</x:v>
      </x:c>
      <x:c r="E228" s="20" t="str">
        <x:v>无固定比例</x:v>
      </x:c>
      <x:c r="F228" s="21"/>
      <x:c r="G228" s="16" t="str">
        <x:v>未披露</x:v>
      </x:c>
      <x:c r="H228" s="17" t="str">
        <x:v>未披露</x:v>
      </x:c>
      <x:c r="I228" s="18" t="str">
        <x:v>塑料</x:v>
      </x:c>
      <x:c r="J228" s="19" t="str">
        <x:v>角色人形</x:v>
      </x:c>
      <x:c r="K228" s="11" t="str">
        <x:v>PLAMATEA Honey Chaser</x:v>
      </x:c>
      <x:c r="L228" s="11" t="str">
        <x:v>未单独核对</x:v>
      </x:c>
      <x:c r="M228" s="11" t="str">
        <x:v>未披露</x:v>
      </x:c>
      <x:c r="N228" s="11" t="str">
        <x:v>本款官方产品页版本；再版与配色名称按原始商品名保留，不推断所有批次。</x:v>
      </x:c>
      <x:c r="O228" s="11" t="str">
        <x:v>未披露</x:v>
      </x:c>
      <x:c r="P228" s="11" t="str">
        <x:v>本款规格：无固定比例；材料：塑料；交付：待拼装、计划商品。
版本与商品范围：原始商品名：PLAMATEA Honey Chaser。作品／产品线：Cutie Honey Nova。官方页面标示出货月：2027-07；计划月份不作为已出货证明。
换件与适配：页面未明确布衣穿脱或跨产品换件范围。跨品牌接口、身体和衣物互换不从系列名称推断；具体限制应以本款产品页为准。</x:v>
      </x:c>
      <x:c r="Q228" s="11" t="str">
        <x:v>未取得产品对应证据</x:v>
      </x:c>
      <x:c r="R228" s="11" t="str">
        <x:v>2026-10-05</x:v>
      </x:c>
      <x:c r="S228" s="11" t="str">
        <x:v>gsc-plamatea-1138610</x:v>
      </x:c>
      <x:c r="T228" s="11" t="str">
        <x:v>https://www.goodsmile.com/en/product/1138610</x:v>
      </x:c>
    </x:row>
    <x:row r="229" ht="111" customHeight="1">
      <x:c r="A229" s="11" t="str">
        <x:v>PLAMATEA Kongo Kai-II C</x:v>
      </x:c>
      <x:c r="B229" s="11" t="str">
        <x:v>Good Smile Company</x:v>
      </x:c>
      <x:c r="C229" s="12" t="str">
        <x:v>关节可动</x:v>
      </x:c>
      <x:c r="D229" s="13" t="str">
        <x:v>待拼装、计划商品</x:v>
      </x:c>
      <x:c r="E229" s="20" t="str">
        <x:v>无固定比例</x:v>
      </x:c>
      <x:c r="F229" s="21" t="n">
        <x:v>155</x:v>
      </x:c>
      <x:c r="G229" s="16" t="str">
        <x:v>官方本款规格的约全高；是否计入底座未单独说明</x:v>
      </x:c>
      <x:c r="H229" s="17" t="str">
        <x:v>换脸、换手</x:v>
      </x:c>
      <x:c r="I229" s="18" t="str">
        <x:v>塑料</x:v>
      </x:c>
      <x:c r="J229" s="19" t="str">
        <x:v>角色人形</x:v>
      </x:c>
      <x:c r="K229" s="11" t="str">
        <x:v>PLAMATEA Kongo Kai-II C</x:v>
      </x:c>
      <x:c r="L229" s="11" t="str">
        <x:v>未单独核对</x:v>
      </x:c>
      <x:c r="M229" s="11" t="str">
        <x:v>未披露</x:v>
      </x:c>
      <x:c r="N229" s="11" t="str">
        <x:v>本款官方产品页版本；再版与配色名称按原始商品名保留，不推断所有批次。</x:v>
      </x:c>
      <x:c r="O229" s="11" t="str">
        <x:v>高度 15.5 cm（官方本款规格的约全高；是否计入底座未单独说明）</x:v>
      </x:c>
      <x:c r="P229" s="11" t="str">
        <x:v>本款规格：无固定比例；高度 15.5 cm（官方本款规格的约全高；是否计入底座未单独说明）；材料：塑料；交付：待拼装、计划商品。
版本与商品范围：原始商品名：PLAMATEA Kongo Kai-II C。作品／产品线：Kantai Collection -Kancolle-。官方页面标示出货月：2027-02；计划月份不作为已出货证明。
换件与适配：来源明确的操作：换脸、换手。跨品牌接口、身体和衣物互换不从系列名称推断；具体限制应以本款产品页为准。</x:v>
      </x:c>
      <x:c r="Q229" s="11" t="str">
        <x:v>未取得产品对应证据</x:v>
      </x:c>
      <x:c r="R229" s="11" t="str">
        <x:v>2026-10-05</x:v>
      </x:c>
      <x:c r="S229" s="11" t="str">
        <x:v>gsc-plamatea-1137954</x:v>
      </x:c>
      <x:c r="T229" s="11" t="str">
        <x:v>https://www.goodsmile.com/en/product/1137954</x:v>
      </x:c>
    </x:row>
    <x:row r="230" ht="111" customHeight="1">
      <x:c r="A230" s="11" t="str">
        <x:v>PLAMATEA Yachiyo</x:v>
      </x:c>
      <x:c r="B230" s="11" t="str">
        <x:v>Good Smile Company</x:v>
      </x:c>
      <x:c r="C230" s="12" t="str">
        <x:v>关节可动</x:v>
      </x:c>
      <x:c r="D230" s="13" t="str">
        <x:v>待拼装、计划商品</x:v>
      </x:c>
      <x:c r="E230" s="20" t="str">
        <x:v>无固定比例</x:v>
      </x:c>
      <x:c r="F230" s="21" t="n">
        <x:v>150</x:v>
      </x:c>
      <x:c r="G230" s="16" t="str">
        <x:v>官方本款规格的约全高；是否计入底座未单独说明</x:v>
      </x:c>
      <x:c r="H230" s="17" t="str">
        <x:v>换脸、换手</x:v>
      </x:c>
      <x:c r="I230" s="18" t="str">
        <x:v>塑料</x:v>
      </x:c>
      <x:c r="J230" s="19" t="str">
        <x:v>角色人形</x:v>
      </x:c>
      <x:c r="K230" s="11" t="str">
        <x:v>PLAMATEA Yachiyo</x:v>
      </x:c>
      <x:c r="L230" s="11" t="str">
        <x:v>未单独核对</x:v>
      </x:c>
      <x:c r="M230" s="11" t="str">
        <x:v>未披露</x:v>
      </x:c>
      <x:c r="N230" s="11" t="str">
        <x:v>本款官方产品页版本；再版与配色名称按原始商品名保留，不推断所有批次。</x:v>
      </x:c>
      <x:c r="O230" s="11" t="str">
        <x:v>高度 15 cm（官方本款规格的约全高；是否计入底座未单独说明）</x:v>
      </x:c>
      <x:c r="P230" s="11" t="str">
        <x:v>本款规格：无固定比例；高度 15 cm（官方本款规格的约全高；是否计入底座未单独说明）；材料：塑料；交付：待拼装、计划商品。
版本与商品范围：原始商品名：PLAMATEA Yachiyo。作品／产品线：Apocalypse Hotel。官方页面标示出货月：2027-04；计划月份不作为已出货证明。
换件与适配：来源明确的操作：换脸、换手。跨品牌接口、身体和衣物互换不从系列名称推断；具体限制应以本款产品页为准。</x:v>
      </x:c>
      <x:c r="Q230" s="11" t="str">
        <x:v>未取得产品对应证据</x:v>
      </x:c>
      <x:c r="R230" s="11" t="str">
        <x:v>2026-10-05</x:v>
      </x:c>
      <x:c r="S230" s="11" t="str">
        <x:v>gsc-plamatea-1142817</x:v>
      </x:c>
      <x:c r="T230" s="11" t="str">
        <x:v>https://www.goodsmile.com/en/product/1142817</x:v>
      </x:c>
    </x:row>
    <x:row r="231" ht="111" customHeight="1">
      <x:c r="A231" s="11" t="str">
        <x:v>PLAMATEA Cutie Honey: Prism Crystal Ver.</x:v>
      </x:c>
      <x:c r="B231" s="11" t="str">
        <x:v>Good Smile Company</x:v>
      </x:c>
      <x:c r="C231" s="12" t="str">
        <x:v>关节可动</x:v>
      </x:c>
      <x:c r="D231" s="13" t="str">
        <x:v>待拼装</x:v>
      </x:c>
      <x:c r="E231" s="20" t="str">
        <x:v>无固定比例</x:v>
      </x:c>
      <x:c r="F231" s="21" t="n">
        <x:v>170</x:v>
      </x:c>
      <x:c r="G231" s="16" t="str">
        <x:v>官方本款规格的约全高；是否计入底座未单独说明</x:v>
      </x:c>
      <x:c r="H231" s="17" t="str">
        <x:v>换脸、换手、水贴定制</x:v>
      </x:c>
      <x:c r="I231" s="18" t="str">
        <x:v>塑料</x:v>
      </x:c>
      <x:c r="J231" s="19" t="str">
        <x:v>角色人形</x:v>
      </x:c>
      <x:c r="K231" s="11" t="str">
        <x:v>PLAMATEA Cutie Honey: Prism Crystal Ver.</x:v>
      </x:c>
      <x:c r="L231" s="11" t="str">
        <x:v>未单独核对</x:v>
      </x:c>
      <x:c r="M231" s="11" t="str">
        <x:v>未披露</x:v>
      </x:c>
      <x:c r="N231" s="11" t="str">
        <x:v>本款官方产品页版本；再版与配色名称按原始商品名保留，不推断所有批次。</x:v>
      </x:c>
      <x:c r="O231" s="11" t="str">
        <x:v>高度 17 cm（官方本款规格的约全高；是否计入底座未单独说明）</x:v>
      </x:c>
      <x:c r="P231" s="11" t="str">
        <x:v>本款规格：无固定比例；高度 17 cm（官方本款规格的约全高；是否计入底座未单独说明）；材料：塑料；交付：待拼装。
版本与商品范围：原始商品名：PLAMATEA Cutie Honey: Prism Crystal Ver.。作品／产品线：Cutie Honey Nova。官方页面标示出货月：2026-06；计划月份不作为已出货证明。
换件与适配：来源明确的操作：换脸、换手、水贴定制。跨品牌接口、身体和衣物互换不从系列名称推断；具体限制应以本款产品页为准。</x:v>
      </x:c>
      <x:c r="Q231" s="11" t="str">
        <x:v>未取得产品对应证据</x:v>
      </x:c>
      <x:c r="R231" s="11" t="str">
        <x:v>2026-10-05</x:v>
      </x:c>
      <x:c r="S231" s="11" t="str">
        <x:v>gsc-plamatea-1142140</x:v>
      </x:c>
      <x:c r="T231" s="11" t="str">
        <x:v>https://www.goodsmile.com/en/product/1142140</x:v>
      </x:c>
    </x:row>
    <x:row r="232" ht="111" customHeight="1">
      <x:c r="A232" s="11" t="str">
        <x:v>PLAMATEA Guy Shishioh</x:v>
      </x:c>
      <x:c r="B232" s="11" t="str">
        <x:v>Good Smile Company</x:v>
      </x:c>
      <x:c r="C232" s="12" t="str">
        <x:v>关节可动</x:v>
      </x:c>
      <x:c r="D232" s="13" t="str">
        <x:v>待拼装、计划商品</x:v>
      </x:c>
      <x:c r="E232" s="20" t="str">
        <x:v>无固定比例</x:v>
      </x:c>
      <x:c r="F232" s="21" t="n">
        <x:v>160</x:v>
      </x:c>
      <x:c r="G232" s="16" t="str">
        <x:v>官方本款规格的约全高；是否计入底座未单独说明</x:v>
      </x:c>
      <x:c r="H232" s="17" t="str">
        <x:v>换脸、换手、水贴定制</x:v>
      </x:c>
      <x:c r="I232" s="18" t="str">
        <x:v>塑料</x:v>
      </x:c>
      <x:c r="J232" s="19" t="str">
        <x:v>角色人形</x:v>
      </x:c>
      <x:c r="K232" s="11" t="str">
        <x:v>PLAMATEA Guy Shishioh</x:v>
      </x:c>
      <x:c r="L232" s="11" t="str">
        <x:v>未单独核对</x:v>
      </x:c>
      <x:c r="M232" s="11" t="str">
        <x:v>未披露</x:v>
      </x:c>
      <x:c r="N232" s="11" t="str">
        <x:v>本款官方产品页版本；再版与配色名称按原始商品名保留，不推断所有批次。</x:v>
      </x:c>
      <x:c r="O232" s="11" t="str">
        <x:v>高度 16 cm（官方本款规格的约全高；是否计入底座未单独说明）</x:v>
      </x:c>
      <x:c r="P232" s="11" t="str">
        <x:v>本款规格：无固定比例；高度 16 cm（官方本款规格的约全高；是否计入底座未单独说明）；材料：塑料；交付：待拼装、计划商品。
版本与商品范围：原始商品名：PLAMATEA Guy Shishioh。作品／产品线：The King of Braves GaoGaiGar。官方页面标示出货月：2027-04；计划月份不作为已出货证明。
换件与适配：来源明确的操作：换脸、换手、水贴定制。跨品牌接口、身体和衣物互换不从系列名称推断；具体限制应以本款产品页为准。</x:v>
      </x:c>
      <x:c r="Q232" s="11" t="str">
        <x:v>未取得产品对应证据</x:v>
      </x:c>
      <x:c r="R232" s="11" t="str">
        <x:v>2026-10-05</x:v>
      </x:c>
      <x:c r="S232" s="11" t="str">
        <x:v>gsc-plamatea-1136972</x:v>
      </x:c>
      <x:c r="T232" s="11" t="str">
        <x:v>https://www.goodsmile.com/en/product/1136972</x:v>
      </x:c>
    </x:row>
    <x:row r="233" ht="110" customHeight="1">
      <x:c r="A233" s="11" t="str">
        <x:v>PLAMATEA MX-chan</x:v>
      </x:c>
      <x:c r="B233" s="11" t="str">
        <x:v>Max Factory</x:v>
      </x:c>
      <x:c r="C233" s="12" t="str">
        <x:v>关节可动</x:v>
      </x:c>
      <x:c r="D233" s="13" t="str">
        <x:v>待拼装、计划商品</x:v>
      </x:c>
      <x:c r="E233" s="20" t="str">
        <x:v>无固定比例</x:v>
      </x:c>
      <x:c r="F233" s="21" t="n">
        <x:v>160</x:v>
      </x:c>
      <x:c r="G233" s="16" t="str">
        <x:v>官方本款规格的约全高；是否计入底座未单独说明</x:v>
      </x:c>
      <x:c r="H233" s="17" t="str">
        <x:v>换脸、换手</x:v>
      </x:c>
      <x:c r="I233" s="18" t="str">
        <x:v>塑料</x:v>
      </x:c>
      <x:c r="J233" s="19" t="str">
        <x:v>角色人形</x:v>
      </x:c>
      <x:c r="K233" s="11" t="str">
        <x:v>PLAMATEA MX-chan</x:v>
      </x:c>
      <x:c r="L233" s="11" t="str">
        <x:v>未单独核对</x:v>
      </x:c>
      <x:c r="M233" s="11" t="str">
        <x:v>未披露</x:v>
      </x:c>
      <x:c r="N233" s="11" t="str">
        <x:v>本款官方产品页版本；再版与配色名称按原始商品名保留，不推断所有批次。</x:v>
      </x:c>
      <x:c r="O233" s="11" t="str">
        <x:v>高度 16 cm（官方本款规格的约全高；是否计入底座未单独说明）</x:v>
      </x:c>
      <x:c r="P233" s="11" t="str">
        <x:v>本款规格：无固定比例；高度 16 cm（官方本款规格的约全高；是否计入底座未单独说明）；材料：塑料；交付：待拼装、计划商品。
版本与商品范围：原始商品名：PLAMATEA MX-chan。官方页面标示出货月：2027-01；计划月份不作为已出货证明。
换件与适配：来源明确的操作：换脸、换手。跨品牌接口、身体和衣物互换不从系列名称推断；具体限制应以本款产品页为准。</x:v>
      </x:c>
      <x:c r="Q233" s="11" t="str">
        <x:v>未取得产品对应证据</x:v>
      </x:c>
      <x:c r="R233" s="11" t="str">
        <x:v>2026-10-05</x:v>
      </x:c>
      <x:c r="S233" s="11" t="str">
        <x:v>gsc-plamatea-1145848</x:v>
      </x:c>
      <x:c r="T233" s="11" t="str">
        <x:v>https://www.goodsmile.com/en/product/1145848</x:v>
      </x:c>
    </x:row>
    <x:row r="234" ht="111" customHeight="1">
      <x:c r="A234" s="11" t="str">
        <x:v>PLAMATEA Arika Yumemiya</x:v>
      </x:c>
      <x:c r="B234" s="11" t="str">
        <x:v>Good Smile Company</x:v>
      </x:c>
      <x:c r="C234" s="12" t="str">
        <x:v>关节可动、球窝关节</x:v>
      </x:c>
      <x:c r="D234" s="13" t="str">
        <x:v>待拼装、计划商品</x:v>
      </x:c>
      <x:c r="E234" s="20" t="str">
        <x:v>无固定比例</x:v>
      </x:c>
      <x:c r="F234" s="21" t="n">
        <x:v>140</x:v>
      </x:c>
      <x:c r="G234" s="16" t="str">
        <x:v>官方本款规格的约全高；是否计入底座未单独说明</x:v>
      </x:c>
      <x:c r="H234" s="17" t="str">
        <x:v>换脸、换手、水贴定制</x:v>
      </x:c>
      <x:c r="I234" s="18" t="str">
        <x:v>塑料</x:v>
      </x:c>
      <x:c r="J234" s="19" t="str">
        <x:v>角色人形</x:v>
      </x:c>
      <x:c r="K234" s="11" t="str">
        <x:v>PLAMATEA Arika Yumemiya</x:v>
      </x:c>
      <x:c r="L234" s="11" t="str">
        <x:v>未单独核对</x:v>
      </x:c>
      <x:c r="M234" s="11" t="str">
        <x:v>未披露</x:v>
      </x:c>
      <x:c r="N234" s="11" t="str">
        <x:v>本款官方产品页版本；再版与配色名称按原始商品名保留，不推断所有批次。</x:v>
      </x:c>
      <x:c r="O234" s="11" t="str">
        <x:v>高度 14 cm（官方本款规格的约全高；是否计入底座未单独说明）</x:v>
      </x:c>
      <x:c r="P234" s="11" t="str">
        <x:v>本款规格：无固定比例；高度 14 cm（官方本款规格的约全高；是否计入底座未单独说明）；材料：塑料；交付：待拼装、计划商品。
版本与商品范围：原始商品名：PLAMATEA Arika Yumemiya。作品／产品线：My-Otome HiME。官方页面标示出货月：2027-04；计划月份不作为已出货证明。
换件与适配：来源明确的操作：换脸、换手、水贴定制。跨品牌接口、身体和衣物互换不从系列名称推断；具体限制应以本款产品页为准。</x:v>
      </x:c>
      <x:c r="Q234" s="11" t="str">
        <x:v>未取得产品对应证据</x:v>
      </x:c>
      <x:c r="R234" s="11" t="str">
        <x:v>2026-10-05</x:v>
      </x:c>
      <x:c r="S234" s="11" t="str">
        <x:v>gsc-plamatea-1138558</x:v>
      </x:c>
      <x:c r="T234" s="11" t="str">
        <x:v>https://www.goodsmile.com/en/product/1138558</x:v>
      </x:c>
    </x:row>
    <x:row r="235" ht="111" customHeight="1">
      <x:c r="A235" s="11" t="str">
        <x:v>PLAMATEA Shielder/Mash Kyrielight (Ortinax)</x:v>
      </x:c>
      <x:c r="B235" s="11" t="str">
        <x:v>Max Factory</x:v>
      </x:c>
      <x:c r="C235" s="12" t="str">
        <x:v>关节可动</x:v>
      </x:c>
      <x:c r="D235" s="13" t="str">
        <x:v>待拼装、计划商品</x:v>
      </x:c>
      <x:c r="E235" s="20" t="str">
        <x:v>无固定比例</x:v>
      </x:c>
      <x:c r="F235" s="21" t="n">
        <x:v>165</x:v>
      </x:c>
      <x:c r="G235" s="16" t="str">
        <x:v>官方本款规格的约全高；是否计入底座未单独说明</x:v>
      </x:c>
      <x:c r="H235" s="17" t="str">
        <x:v>换脸</x:v>
      </x:c>
      <x:c r="I235" s="18" t="str">
        <x:v>塑料</x:v>
      </x:c>
      <x:c r="J235" s="19" t="str">
        <x:v>角色人形</x:v>
      </x:c>
      <x:c r="K235" s="11" t="str">
        <x:v>PLAMATEA Shielder/Mash Kyrielight (Ortinax)</x:v>
      </x:c>
      <x:c r="L235" s="11" t="str">
        <x:v>未单独核对</x:v>
      </x:c>
      <x:c r="M235" s="11" t="str">
        <x:v>未披露</x:v>
      </x:c>
      <x:c r="N235" s="11" t="str">
        <x:v>本款官方产品页版本；再版与配色名称按原始商品名保留，不推断所有批次。</x:v>
      </x:c>
      <x:c r="O235" s="11" t="str">
        <x:v>高度 16.5 cm（官方本款规格的约全高；是否计入底座未单独说明）</x:v>
      </x:c>
      <x:c r="P235" s="11" t="str">
        <x:v>本款规格：无固定比例；高度 16.5 cm（官方本款规格的约全高；是否计入底座未单独说明）；材料：塑料；交付：待拼装、计划商品。
版本与商品范围：原始商品名：PLAMATEA Shielder/Mash Kyrielight (Ortinax)。作品／产品线：Fate/Grand Order。官方页面标示出货月：2027-04；计划月份不作为已出货证明。
换件与适配：来源明确的操作：换脸。跨品牌接口、身体和衣物互换不从系列名称推断；具体限制应以本款产品页为准。</x:v>
      </x:c>
      <x:c r="Q235" s="11" t="str">
        <x:v>未取得产品对应证据</x:v>
      </x:c>
      <x:c r="R235" s="11" t="str">
        <x:v>2026-10-05</x:v>
      </x:c>
      <x:c r="S235" s="11" t="str">
        <x:v>gsc-plamatea-1144549</x:v>
      </x:c>
      <x:c r="T235" s="11" t="str">
        <x:v>https://www.goodsmile.com/en/product/1144549</x:v>
      </x:c>
    </x:row>
    <x:row r="236" ht="126" customHeight="1">
      <x:c r="A236" s="11" t="str">
        <x:v>PLAMATEA Shielder/Mash Kyrielight (Ortinax) Black Barrel Edition</x:v>
      </x:c>
      <x:c r="B236" s="11" t="str">
        <x:v>Max Factory</x:v>
      </x:c>
      <x:c r="C236" s="12" t="str">
        <x:v>关节可动</x:v>
      </x:c>
      <x:c r="D236" s="13" t="str">
        <x:v>待拼装、计划商品</x:v>
      </x:c>
      <x:c r="E236" s="20" t="str">
        <x:v>无固定比例</x:v>
      </x:c>
      <x:c r="F236" s="21" t="n">
        <x:v>165</x:v>
      </x:c>
      <x:c r="G236" s="16" t="str">
        <x:v>官方本款规格的约全高；是否计入底座未单独说明</x:v>
      </x:c>
      <x:c r="H236" s="17" t="str">
        <x:v>换脸</x:v>
      </x:c>
      <x:c r="I236" s="18" t="str">
        <x:v>塑料</x:v>
      </x:c>
      <x:c r="J236" s="19" t="str">
        <x:v>角色人形</x:v>
      </x:c>
      <x:c r="K236" s="11" t="str">
        <x:v>PLAMATEA Shielder/Mash Kyrielight (Ortinax) Black Barrel Edition</x:v>
      </x:c>
      <x:c r="L236" s="11" t="str">
        <x:v>未单独核对</x:v>
      </x:c>
      <x:c r="M236" s="11" t="str">
        <x:v>未披露</x:v>
      </x:c>
      <x:c r="N236" s="11" t="str">
        <x:v>本款官方产品页版本；再版与配色名称按原始商品名保留，不推断所有批次。</x:v>
      </x:c>
      <x:c r="O236" s="11" t="str">
        <x:v>Mash · 高度 16.5 cm（官方本款规格的约全高；是否计入底座未单独说明）</x:v>
      </x:c>
      <x:c r="P236" s="11" t="str">
        <x:v>本款规格：无固定比例；Mash · 高度 16.5 cm（官方本款规格的约全高；是否计入底座未单独说明）；材料：塑料；交付：待拼装、计划商品。
版本与商品范围：原始商品名：PLAMATEA Shielder/Mash Kyrielight (Ortinax) Black Barrel Edition。作品／产品线：Fate/Grand Order。官方页面标示出货月：2027-04；计划月份不作为已出货证明。
换件与适配：来源明确的操作：换脸。跨品牌接口、身体和衣物互换不从系列名称推断；具体限制应以本款产品页为准。</x:v>
      </x:c>
      <x:c r="Q236" s="11" t="str">
        <x:v>未取得产品对应证据</x:v>
      </x:c>
      <x:c r="R236" s="11" t="str">
        <x:v>2026-10-05</x:v>
      </x:c>
      <x:c r="S236" s="11" t="str">
        <x:v>gsc-plamatea-1144550</x:v>
      </x:c>
      <x:c r="T236" s="11" t="str">
        <x:v>https://www.goodsmile.com/en/product/1144550</x:v>
      </x:c>
    </x:row>
    <x:row r="237" ht="110" customHeight="1">
      <x:c r="A237" s="11" t="str">
        <x:v>PLAMATEA Al Azif</x:v>
      </x:c>
      <x:c r="B237" s="11" t="str">
        <x:v>Good Smile Company</x:v>
      </x:c>
      <x:c r="C237" s="12" t="str">
        <x:v>关节可动</x:v>
      </x:c>
      <x:c r="D237" s="13" t="str">
        <x:v>待拼装、计划商品</x:v>
      </x:c>
      <x:c r="E237" s="20" t="str">
        <x:v>无固定比例</x:v>
      </x:c>
      <x:c r="F237" s="21" t="n">
        <x:v>140</x:v>
      </x:c>
      <x:c r="G237" s="16" t="str">
        <x:v>官方本款规格的约全高；是否计入底座未单独说明</x:v>
      </x:c>
      <x:c r="H237" s="17" t="str">
        <x:v>换脸、换手</x:v>
      </x:c>
      <x:c r="I237" s="18" t="str">
        <x:v>塑料</x:v>
      </x:c>
      <x:c r="J237" s="19" t="str">
        <x:v>角色人形</x:v>
      </x:c>
      <x:c r="K237" s="11" t="str">
        <x:v>PLAMATEA Al Azif</x:v>
      </x:c>
      <x:c r="L237" s="11" t="str">
        <x:v>未单独核对</x:v>
      </x:c>
      <x:c r="M237" s="11" t="str">
        <x:v>未披露</x:v>
      </x:c>
      <x:c r="N237" s="11" t="str">
        <x:v>本款官方产品页版本；再版与配色名称按原始商品名保留，不推断所有批次。</x:v>
      </x:c>
      <x:c r="O237" s="11" t="str">
        <x:v>高度 14 cm（官方本款规格的约全高；是否计入底座未单独说明）</x:v>
      </x:c>
      <x:c r="P237" s="11" t="str">
        <x:v>本款规格：无固定比例；高度 14 cm（官方本款规格的约全高；是否计入底座未单独说明）；材料：塑料；交付：待拼装、计划商品。
版本与商品范围：原始商品名：PLAMATEA Al Azif。作品／产品线：Demonbane。官方页面标示出货月：2027-04；计划月份不作为已出货证明。
换件与适配：来源明确的操作：换脸、换手。跨品牌接口、身体和衣物互换不从系列名称推断；具体限制应以本款产品页为准。</x:v>
      </x:c>
      <x:c r="Q237" s="11" t="str">
        <x:v>未取得产品对应证据</x:v>
      </x:c>
      <x:c r="R237" s="11" t="str">
        <x:v>2026-10-05</x:v>
      </x:c>
      <x:c r="S237" s="11" t="str">
        <x:v>gsc-plamatea-1137892</x:v>
      </x:c>
      <x:c r="T237" s="11" t="str">
        <x:v>https://www.goodsmile.com/en/product/1137892</x:v>
      </x:c>
    </x:row>
    <x:row r="238" ht="111" customHeight="1">
      <x:c r="A238" s="11" t="str">
        <x:v>PLAMATEA 初音未来</x:v>
      </x:c>
      <x:c r="B238" s="11" t="str">
        <x:v>Good Smile Company</x:v>
      </x:c>
      <x:c r="C238" s="12" t="str">
        <x:v>关节可动</x:v>
      </x:c>
      <x:c r="D238" s="13" t="str">
        <x:v>待拼装、计划商品</x:v>
      </x:c>
      <x:c r="E238" s="20" t="str">
        <x:v>无固定比例</x:v>
      </x:c>
      <x:c r="F238" s="21" t="n">
        <x:v>150</x:v>
      </x:c>
      <x:c r="G238" s="16" t="str">
        <x:v>官方本款规格的约全高；是否计入底座未单独说明</x:v>
      </x:c>
      <x:c r="H238" s="17" t="str">
        <x:v>换脸、换手</x:v>
      </x:c>
      <x:c r="I238" s="18" t="str">
        <x:v>塑料</x:v>
      </x:c>
      <x:c r="J238" s="19" t="str">
        <x:v>角色人形</x:v>
      </x:c>
      <x:c r="K238" s="11" t="str">
        <x:v>PLAMATEA Hatsune Miku</x:v>
      </x:c>
      <x:c r="L238" s="11" t="str">
        <x:v>未单独核对</x:v>
      </x:c>
      <x:c r="M238" s="11" t="str">
        <x:v>未披露</x:v>
      </x:c>
      <x:c r="N238" s="11" t="str">
        <x:v>本款官方产品页版本；再版与配色名称按原始商品名保留，不推断所有批次。</x:v>
      </x:c>
      <x:c r="O238" s="11" t="str">
        <x:v>高度 15 cm（官方本款规格的约全高；是否计入底座未单独说明）</x:v>
      </x:c>
      <x:c r="P238" s="11" t="str">
        <x:v>本款规格：无固定比例；高度 15 cm（官方本款规格的约全高；是否计入底座未单独说明）；材料：塑料；交付：待拼装、计划商品。
版本与商品范围：原始商品名：PLAMATEA Hatsune Miku。作品／产品线：Character Vocal Series 01: Hatsune Miku。官方页面标示出货月：2027-01；计划月份不作为已出货证明。
换件与适配：来源明确的操作：换脸、换手。跨品牌接口、身体和衣物互换不从系列名称推断；具体限制应以本款产品页为准。</x:v>
      </x:c>
      <x:c r="Q238" s="11" t="str">
        <x:v>未取得产品对应证据</x:v>
      </x:c>
      <x:c r="R238" s="11" t="str">
        <x:v>2026-10-05</x:v>
      </x:c>
      <x:c r="S238" s="11" t="str">
        <x:v>gsc-plamatea-1137327</x:v>
      </x:c>
      <x:c r="T238" s="11" t="str">
        <x:v>https://www.goodsmile.com/en/product/1137327</x:v>
      </x:c>
    </x:row>
    <x:row r="239" ht="110" customHeight="1">
      <x:c r="A239" s="11" t="str">
        <x:v>PLAMATEA Kerry: Bunny Ver.</x:v>
      </x:c>
      <x:c r="B239" s="11" t="str">
        <x:v>Good Smile Company</x:v>
      </x:c>
      <x:c r="C239" s="12" t="str">
        <x:v>关节可动、球窝关节</x:v>
      </x:c>
      <x:c r="D239" s="13" t="str">
        <x:v>待拼装、计划商品</x:v>
      </x:c>
      <x:c r="E239" s="20" t="str">
        <x:v>无固定比例</x:v>
      </x:c>
      <x:c r="F239" s="21" t="n">
        <x:v>160</x:v>
      </x:c>
      <x:c r="G239" s="16" t="str">
        <x:v>官方本款规格的约全高；是否计入底座未单独说明</x:v>
      </x:c>
      <x:c r="H239" s="17" t="str">
        <x:v>换脸、换手</x:v>
      </x:c>
      <x:c r="I239" s="18" t="str">
        <x:v>塑料</x:v>
      </x:c>
      <x:c r="J239" s="19" t="str">
        <x:v>角色人形</x:v>
      </x:c>
      <x:c r="K239" s="11" t="str">
        <x:v>PLAMATEA Kerry: Bunny Ver.</x:v>
      </x:c>
      <x:c r="L239" s="11" t="str">
        <x:v>未单独核对</x:v>
      </x:c>
      <x:c r="M239" s="11" t="str">
        <x:v>未披露</x:v>
      </x:c>
      <x:c r="N239" s="11" t="str">
        <x:v>本款官方产品页版本；再版与配色名称按原始商品名保留，不推断所有批次。</x:v>
      </x:c>
      <x:c r="O239" s="11" t="str">
        <x:v>高度 16 cm（官方本款规格的约全高；是否计入底座未单独说明）</x:v>
      </x:c>
      <x:c r="P239" s="11" t="str">
        <x:v>本款规格：无固定比例；高度 16 cm（官方本款规格的约全高；是否计入底座未单独说明）；材料：塑料；交付：待拼装、计划商品。
版本与商品范围：原始商品名：PLAMATEA Kerry: Bunny Ver.。作品／产品线：DF。官方页面标示出货月：2027-02；计划月份不作为已出货证明。
换件与适配：来源明确的操作：换脸、换手。跨品牌接口、身体和衣物互换不从系列名称推断；具体限制应以本款产品页为准。</x:v>
      </x:c>
      <x:c r="Q239" s="11" t="str">
        <x:v>未取得产品对应证据</x:v>
      </x:c>
      <x:c r="R239" s="11" t="str">
        <x:v>2026-10-05</x:v>
      </x:c>
      <x:c r="S239" s="11" t="str">
        <x:v>gsc-plamatea-1141570</x:v>
      </x:c>
      <x:c r="T239" s="11" t="str">
        <x:v>https://www.goodsmile.com/en/product/1141570</x:v>
      </x:c>
    </x:row>
    <x:row r="240" ht="111" customHeight="1">
      <x:c r="A240" s="11" t="str">
        <x:v>PLAMATEA Rei Ayanami</x:v>
      </x:c>
      <x:c r="B240" s="11" t="str">
        <x:v>Good Smile Company</x:v>
      </x:c>
      <x:c r="C240" s="12" t="str">
        <x:v>关节可动</x:v>
      </x:c>
      <x:c r="D240" s="13" t="str">
        <x:v>待拼装、计划商品</x:v>
      </x:c>
      <x:c r="E240" s="20" t="str">
        <x:v>无固定比例</x:v>
      </x:c>
      <x:c r="F240" s="21" t="n">
        <x:v>170</x:v>
      </x:c>
      <x:c r="G240" s="16" t="str">
        <x:v>官方本款规格的约全高；是否计入底座未单独说明</x:v>
      </x:c>
      <x:c r="H240" s="17" t="str">
        <x:v>换脸、换手、水贴定制</x:v>
      </x:c>
      <x:c r="I240" s="18" t="str">
        <x:v>塑料</x:v>
      </x:c>
      <x:c r="J240" s="19" t="str">
        <x:v>角色人形</x:v>
      </x:c>
      <x:c r="K240" s="11" t="str">
        <x:v>PLAMATEA Rei Ayanami</x:v>
      </x:c>
      <x:c r="L240" s="11" t="str">
        <x:v>未单独核对</x:v>
      </x:c>
      <x:c r="M240" s="11" t="str">
        <x:v>未披露</x:v>
      </x:c>
      <x:c r="N240" s="11" t="str">
        <x:v>本款官方产品页版本；再版与配色名称按原始商品名保留，不推断所有批次。</x:v>
      </x:c>
      <x:c r="O240" s="11" t="str">
        <x:v>高度 17 cm（官方本款规格的约全高；是否计入底座未单独说明）</x:v>
      </x:c>
      <x:c r="P240" s="11" t="str">
        <x:v>本款规格：无固定比例；高度 17 cm（官方本款规格的约全高；是否计入底座未单独说明）；材料：塑料；交付：待拼装、计划商品。
版本与商品范围：原始商品名：PLAMATEA Rei Ayanami。作品／产品线：Rebuild of Evangelion。官方页面标示出货月：2026-12；计划月份不作为已出货证明。
换件与适配：来源明确的操作：换脸、换手、水贴定制。跨品牌接口、身体和衣物互换不从系列名称推断；具体限制应以本款产品页为准。</x:v>
      </x:c>
      <x:c r="Q240" s="11" t="str">
        <x:v>未取得产品对应证据</x:v>
      </x:c>
      <x:c r="R240" s="11" t="str">
        <x:v>2026-10-05</x:v>
      </x:c>
      <x:c r="S240" s="11" t="str">
        <x:v>gsc-plamatea-1137923</x:v>
      </x:c>
      <x:c r="T240" s="11" t="str">
        <x:v>https://www.goodsmile.com/en/product/1137923</x:v>
      </x:c>
    </x:row>
    <x:row r="241" ht="111" customHeight="1">
      <x:c r="A241" s="11" t="str">
        <x:v>PLAMATEA Asuka Shikinami Langley</x:v>
      </x:c>
      <x:c r="B241" s="11" t="str">
        <x:v>Good Smile Company</x:v>
      </x:c>
      <x:c r="C241" s="12" t="str">
        <x:v>关节可动</x:v>
      </x:c>
      <x:c r="D241" s="13" t="str">
        <x:v>待拼装、计划商品</x:v>
      </x:c>
      <x:c r="E241" s="20" t="str">
        <x:v>无固定比例</x:v>
      </x:c>
      <x:c r="F241" s="21" t="n">
        <x:v>170</x:v>
      </x:c>
      <x:c r="G241" s="16" t="str">
        <x:v>官方本款规格的约全高；是否计入底座未单独说明</x:v>
      </x:c>
      <x:c r="H241" s="17" t="str">
        <x:v>换脸、换手、水贴定制</x:v>
      </x:c>
      <x:c r="I241" s="18" t="str">
        <x:v>塑料</x:v>
      </x:c>
      <x:c r="J241" s="19" t="str">
        <x:v>角色人形</x:v>
      </x:c>
      <x:c r="K241" s="11" t="str">
        <x:v>PLAMATEA Asuka Shikinami Langley</x:v>
      </x:c>
      <x:c r="L241" s="11" t="str">
        <x:v>未单独核对</x:v>
      </x:c>
      <x:c r="M241" s="11" t="str">
        <x:v>未披露</x:v>
      </x:c>
      <x:c r="N241" s="11" t="str">
        <x:v>本款官方产品页版本；再版与配色名称按原始商品名保留，不推断所有批次。</x:v>
      </x:c>
      <x:c r="O241" s="11" t="str">
        <x:v>高度 17 cm（官方本款规格的约全高；是否计入底座未单独说明）</x:v>
      </x:c>
      <x:c r="P241" s="11" t="str">
        <x:v>本款规格：无固定比例；高度 17 cm（官方本款规格的约全高；是否计入底座未单独说明）；材料：塑料；交付：待拼装、计划商品。
版本与商品范围：原始商品名：PLAMATEA Asuka Shikinami Langley。作品／产品线：Rebuild of Evangelion。官方页面标示出货月：2026-12；计划月份不作为已出货证明。
换件与适配：来源明确的操作：换脸、换手、水贴定制。跨品牌接口、身体和衣物互换不从系列名称推断；具体限制应以本款产品页为准。</x:v>
      </x:c>
      <x:c r="Q241" s="11" t="str">
        <x:v>未取得产品对应证据</x:v>
      </x:c>
      <x:c r="R241" s="11" t="str">
        <x:v>2026-10-05</x:v>
      </x:c>
      <x:c r="S241" s="11" t="str">
        <x:v>gsc-plamatea-1137924</x:v>
      </x:c>
      <x:c r="T241" s="11" t="str">
        <x:v>https://www.goodsmile.com/en/product/1137924</x:v>
      </x:c>
    </x:row>
    <x:row r="242" ht="111" customHeight="1">
      <x:c r="A242" s="11" t="str">
        <x:v>PLAMATEA Black Honey</x:v>
      </x:c>
      <x:c r="B242" s="11" t="str">
        <x:v>Good Smile Company</x:v>
      </x:c>
      <x:c r="C242" s="12" t="str">
        <x:v>关节可动</x:v>
      </x:c>
      <x:c r="D242" s="13" t="str">
        <x:v>待拼装、计划商品</x:v>
      </x:c>
      <x:c r="E242" s="20" t="str">
        <x:v>无固定比例</x:v>
      </x:c>
      <x:c r="F242" s="21" t="n">
        <x:v>170</x:v>
      </x:c>
      <x:c r="G242" s="16" t="str">
        <x:v>官方本款规格的约全高；是否计入底座未单独说明</x:v>
      </x:c>
      <x:c r="H242" s="17" t="str">
        <x:v>换脸、换手、水贴定制</x:v>
      </x:c>
      <x:c r="I242" s="18" t="str">
        <x:v>塑料</x:v>
      </x:c>
      <x:c r="J242" s="19" t="str">
        <x:v>角色人形</x:v>
      </x:c>
      <x:c r="K242" s="11" t="str">
        <x:v>PLAMATEA Black Honey</x:v>
      </x:c>
      <x:c r="L242" s="11" t="str">
        <x:v>未单独核对</x:v>
      </x:c>
      <x:c r="M242" s="11" t="str">
        <x:v>未披露</x:v>
      </x:c>
      <x:c r="N242" s="11" t="str">
        <x:v>本款官方产品页版本；再版与配色名称按原始商品名保留，不推断所有批次。</x:v>
      </x:c>
      <x:c r="O242" s="11" t="str">
        <x:v>高度 17 cm（官方本款规格的约全高；是否计入底座未单独说明）</x:v>
      </x:c>
      <x:c r="P242" s="11" t="str">
        <x:v>本款规格：无固定比例；高度 17 cm（官方本款规格的约全高；是否计入底座未单独说明）；材料：塑料；交付：待拼装、计划商品。
版本与商品范围：原始商品名：PLAMATEA Black Honey。作品／产品线：Cutie Honey Nova。官方页面标示出货月：2026-12；计划月份不作为已出货证明。
换件与适配：来源明确的操作：换脸、换手、水贴定制。跨品牌接口、身体和衣物互换不从系列名称推断；具体限制应以本款产品页为准。</x:v>
      </x:c>
      <x:c r="Q242" s="11" t="str">
        <x:v>未取得产品对应证据</x:v>
      </x:c>
      <x:c r="R242" s="11" t="str">
        <x:v>2026-10-05</x:v>
      </x:c>
      <x:c r="S242" s="11" t="str">
        <x:v>gsc-plamatea-1136218</x:v>
      </x:c>
      <x:c r="T242" s="11" t="str">
        <x:v>https://www.goodsmile.com/en/product/1136218</x:v>
      </x:c>
    </x:row>
    <x:row r="243" ht="153" customHeight="1">
      <x:c r="A243" s="11" t="str">
        <x:v>PLAMATEA T-60 帕瓦 Armor</x:v>
      </x:c>
      <x:c r="B243" s="11" t="str">
        <x:v>Good Smile Company</x:v>
      </x:c>
      <x:c r="C243" s="12" t="str">
        <x:v>连接待核实</x:v>
      </x:c>
      <x:c r="D243" s="13" t="str">
        <x:v>待拼装、计划商品</x:v>
      </x:c>
      <x:c r="E243" s="20" t="str">
        <x:v>无固定比例</x:v>
      </x:c>
      <x:c r="F243" s="21" t="n">
        <x:v>200</x:v>
      </x:c>
      <x:c r="G243" s="16" t="str">
        <x:v>官方本款规格的约全高；是否计入底座未单独说明</x:v>
      </x:c>
      <x:c r="H243" s="17" t="str">
        <x:v>水贴定制</x:v>
      </x:c>
      <x:c r="I243" s="18" t="str">
        <x:v>塑料</x:v>
      </x:c>
      <x:c r="J243" s="19" t="str">
        <x:v>角色人形</x:v>
      </x:c>
      <x:c r="K243" s="11" t="str">
        <x:v>PLAMATEA T-60 Power Armor</x:v>
      </x:c>
      <x:c r="L243" s="11" t="str">
        <x:v>未单独核对</x:v>
      </x:c>
      <x:c r="M243" s="11" t="str">
        <x:v>未披露</x:v>
      </x:c>
      <x:c r="N243" s="11" t="str">
        <x:v>本款官方产品页版本；再版与配色名称按原始商品名保留，不推断所有批次。</x:v>
      </x:c>
      <x:c r="O243" s="11" t="str">
        <x:v>高度 20 cm（官方本款规格的约全高；是否计入底座未单独说明）</x:v>
      </x:c>
      <x:c r="P243" s="11" t="str">
        <x:v>本款规格：无固定比例；高度 20 cm（官方本款规格的约全高；是否计入底座未单独说明）；材料：塑料；交付：待拼装、计划商品。
版本与商品范围：原始商品名：PLAMATEA T-60 Power Armor。作品／产品线：Fallout。官方页面标示出货月：2027-04；计划月份不作为已出货证明。
换件与适配：来源明确的操作：水贴定制。跨品牌接口、身体和衣物互换不从系列名称推断；具体限制应以本款产品页为准。
企划与制造主体：页面 Manufacturer 栏：Good Smile Company；Planning/Production 栏：Max Factory Sample Furitsuku。主体角色分别保留。</x:v>
      </x:c>
      <x:c r="Q243" s="11" t="str">
        <x:v>未取得产品对应证据</x:v>
      </x:c>
      <x:c r="R243" s="11" t="str">
        <x:v>2026-10-05</x:v>
      </x:c>
      <x:c r="S243" s="11" t="str">
        <x:v>gsc-plamatea-1138002</x:v>
      </x:c>
      <x:c r="T243" s="11" t="str">
        <x:v>https://www.goodsmile.com/en/product/1138002</x:v>
      </x:c>
    </x:row>
    <x:row r="244" ht="111" customHeight="1">
      <x:c r="A244" s="11" t="str">
        <x:v>PLAMATEA Muse Body: Ichika - Silver Bikini Ver.</x:v>
      </x:c>
      <x:c r="B244" s="11" t="str">
        <x:v>Good Smile Company</x:v>
      </x:c>
      <x:c r="C244" s="12" t="str">
        <x:v>关节可动、球窝关节</x:v>
      </x:c>
      <x:c r="D244" s="13" t="str">
        <x:v>待拼装</x:v>
      </x:c>
      <x:c r="E244" s="20" t="str">
        <x:v>无固定比例</x:v>
      </x:c>
      <x:c r="F244" s="21" t="n">
        <x:v>145</x:v>
      </x:c>
      <x:c r="G244" s="16" t="str">
        <x:v>官方本款规格的约全高；是否计入底座未单独说明</x:v>
      </x:c>
      <x:c r="H244" s="17" t="str">
        <x:v>换脸、换手、水贴定制</x:v>
      </x:c>
      <x:c r="I244" s="18" t="str">
        <x:v>塑料</x:v>
      </x:c>
      <x:c r="J244" s="19" t="str">
        <x:v>素体</x:v>
      </x:c>
      <x:c r="K244" s="11" t="str">
        <x:v>PLAMATEA Muse Body: Ichika - Silver Bikini Ver.</x:v>
      </x:c>
      <x:c r="L244" s="11" t="str">
        <x:v>未单独核对</x:v>
      </x:c>
      <x:c r="M244" s="11" t="str">
        <x:v>未披露</x:v>
      </x:c>
      <x:c r="N244" s="11" t="str">
        <x:v>本款官方产品页版本；再版与配色名称按原始商品名保留，不推断所有批次。</x:v>
      </x:c>
      <x:c r="O244" s="11" t="str">
        <x:v>高度 14.5 cm（官方本款规格的约全高；是否计入底座未单独说明）</x:v>
      </x:c>
      <x:c r="P244" s="11" t="str">
        <x:v>本款规格：无固定比例；高度 14.5 cm（官方本款规格的约全高；是否计入底座未单独说明）；材料：塑料；交付：待拼装。
版本与商品范围：原始商品名：PLAMATEA Muse Body: Ichika - Silver Bikini Ver.。官方页面标示出货月：2026-06；计划月份不作为已出货证明。
换件与适配：来源明确的操作：换脸、换手、水贴定制。跨品牌接口、身体和衣物互换不从系列名称推断；具体限制应以本款产品页为准。</x:v>
      </x:c>
      <x:c r="Q244" s="11" t="str">
        <x:v>未取得产品对应证据</x:v>
      </x:c>
      <x:c r="R244" s="11" t="str">
        <x:v>2026-10-05</x:v>
      </x:c>
      <x:c r="S244" s="11" t="str">
        <x:v>gsc-plamatea-1141879</x:v>
      </x:c>
      <x:c r="T244" s="11" t="str">
        <x:v>https://www.goodsmile.com/en/product/1141879</x:v>
      </x:c>
    </x:row>
    <x:row r="245" ht="111" customHeight="1">
      <x:c r="A245" s="11" t="str">
        <x:v>PLAMATEA Cutie Honey</x:v>
      </x:c>
      <x:c r="B245" s="11" t="str">
        <x:v>Good Smile Company</x:v>
      </x:c>
      <x:c r="C245" s="12" t="str">
        <x:v>关节可动</x:v>
      </x:c>
      <x:c r="D245" s="13" t="str">
        <x:v>待拼装、计划商品</x:v>
      </x:c>
      <x:c r="E245" s="20" t="str">
        <x:v>无固定比例</x:v>
      </x:c>
      <x:c r="F245" s="21" t="n">
        <x:v>170</x:v>
      </x:c>
      <x:c r="G245" s="16" t="str">
        <x:v>官方本款规格的约全高；是否计入底座未单独说明</x:v>
      </x:c>
      <x:c r="H245" s="17" t="str">
        <x:v>换脸、换手、水贴定制</x:v>
      </x:c>
      <x:c r="I245" s="18" t="str">
        <x:v>塑料</x:v>
      </x:c>
      <x:c r="J245" s="19" t="str">
        <x:v>角色人形</x:v>
      </x:c>
      <x:c r="K245" s="11" t="str">
        <x:v>PLAMATEA Cutie Honey</x:v>
      </x:c>
      <x:c r="L245" s="11" t="str">
        <x:v>未单独核对</x:v>
      </x:c>
      <x:c r="M245" s="11" t="str">
        <x:v>未披露</x:v>
      </x:c>
      <x:c r="N245" s="11" t="str">
        <x:v>本款官方产品页版本；再版与配色名称按原始商品名保留，不推断所有批次。</x:v>
      </x:c>
      <x:c r="O245" s="11" t="str">
        <x:v>高度 17 cm（官方本款规格的约全高；是否计入底座未单独说明）</x:v>
      </x:c>
      <x:c r="P245" s="11" t="str">
        <x:v>本款规格：无固定比例；高度 17 cm（官方本款规格的约全高；是否计入底座未单独说明）；材料：塑料；交付：待拼装、计划商品。
版本与商品范围：原始商品名：PLAMATEA Cutie Honey。作品／产品线：Cutie Honey Nova。官方页面标示出货月：2026-11；计划月份不作为已出货证明。
换件与适配：来源明确的操作：换脸、换手、水贴定制。跨品牌接口、身体和衣物互换不从系列名称推断；具体限制应以本款产品页为准。</x:v>
      </x:c>
      <x:c r="Q245" s="11" t="str">
        <x:v>未取得产品对应证据</x:v>
      </x:c>
      <x:c r="R245" s="11" t="str">
        <x:v>2026-10-05</x:v>
      </x:c>
      <x:c r="S245" s="11" t="str">
        <x:v>gsc-plamatea-36286</x:v>
      </x:c>
      <x:c r="T245" s="11" t="str">
        <x:v>https://www.goodsmile.com/en/product/36286</x:v>
      </x:c>
    </x:row>
    <x:row r="246" ht="111" customHeight="1">
      <x:c r="A246" s="11" t="str">
        <x:v>PLAMATEA Guts: Berserker Armor Ver.</x:v>
      </x:c>
      <x:c r="B246" s="11" t="str">
        <x:v>Max Factory</x:v>
      </x:c>
      <x:c r="C246" s="12" t="str">
        <x:v>关节可动</x:v>
      </x:c>
      <x:c r="D246" s="13" t="str">
        <x:v>待拼装</x:v>
      </x:c>
      <x:c r="E246" s="20" t="str">
        <x:v>无固定比例</x:v>
      </x:c>
      <x:c r="F246" s="21" t="n">
        <x:v>185</x:v>
      </x:c>
      <x:c r="G246" s="16" t="str">
        <x:v>官方本款规格的约全高；是否计入底座未单独说明</x:v>
      </x:c>
      <x:c r="H246" s="17" t="str">
        <x:v>换手</x:v>
      </x:c>
      <x:c r="I246" s="18" t="str">
        <x:v>塑料</x:v>
      </x:c>
      <x:c r="J246" s="19" t="str">
        <x:v>角色人形</x:v>
      </x:c>
      <x:c r="K246" s="11" t="str">
        <x:v>PLAMATEA Guts: Berserker Armor Ver.</x:v>
      </x:c>
      <x:c r="L246" s="11" t="str">
        <x:v>未单独核对</x:v>
      </x:c>
      <x:c r="M246" s="11" t="str">
        <x:v>未披露</x:v>
      </x:c>
      <x:c r="N246" s="11" t="str">
        <x:v>本款官方产品页版本；再版与配色名称按原始商品名保留，不推断所有批次。</x:v>
      </x:c>
      <x:c r="O246" s="11" t="str">
        <x:v>高度 18.5 cm（官方本款规格的约全高；是否计入底座未单独说明）</x:v>
      </x:c>
      <x:c r="P246" s="11" t="str">
        <x:v>本款规格：无固定比例；高度 18.5 cm（官方本款规格的约全高；是否计入底座未单独说明）；材料：塑料；交付：待拼装。
版本与商品范围：原始商品名：PLAMATEA Guts: Berserker Armor Ver.。作品／产品线：Berserk。官方页面标示出货月：2026-10；计划月份不作为已出货证明。
换件与适配：来源明确的操作：换手。跨品牌接口、身体和衣物互换不从系列名称推断；具体限制应以本款产品页为准。</x:v>
      </x:c>
      <x:c r="Q246" s="11" t="str">
        <x:v>未取得产品对应证据</x:v>
      </x:c>
      <x:c r="R246" s="11" t="str">
        <x:v>2026-10-05</x:v>
      </x:c>
      <x:c r="S246" s="11" t="str">
        <x:v>gsc-plamatea-60249</x:v>
      </x:c>
      <x:c r="T246" s="11" t="str">
        <x:v>https://www.goodsmile.com/en/product/60249</x:v>
      </x:c>
    </x:row>
    <x:row r="247" ht="111" customHeight="1">
      <x:c r="A247" s="11" t="str">
        <x:v>PLAMATEA Yuki Yuna</x:v>
      </x:c>
      <x:c r="B247" s="11" t="str">
        <x:v>Good Smile Company</x:v>
      </x:c>
      <x:c r="C247" s="12" t="str">
        <x:v>关节可动</x:v>
      </x:c>
      <x:c r="D247" s="13" t="str">
        <x:v>待拼装</x:v>
      </x:c>
      <x:c r="E247" s="20" t="str">
        <x:v>无固定比例</x:v>
      </x:c>
      <x:c r="F247" s="21" t="n">
        <x:v>155</x:v>
      </x:c>
      <x:c r="G247" s="16" t="str">
        <x:v>官方本款规格的约全高；是否计入底座未单独说明</x:v>
      </x:c>
      <x:c r="H247" s="17" t="str">
        <x:v>换脸、换手、水贴定制</x:v>
      </x:c>
      <x:c r="I247" s="18" t="str">
        <x:v>塑料</x:v>
      </x:c>
      <x:c r="J247" s="19" t="str">
        <x:v>角色人形</x:v>
      </x:c>
      <x:c r="K247" s="11" t="str">
        <x:v>PLAMATEA Yuki Yuna</x:v>
      </x:c>
      <x:c r="L247" s="11" t="str">
        <x:v>未单独核对</x:v>
      </x:c>
      <x:c r="M247" s="11" t="str">
        <x:v>未披露</x:v>
      </x:c>
      <x:c r="N247" s="11" t="str">
        <x:v>本款官方产品页版本；再版与配色名称按原始商品名保留，不推断所有批次。</x:v>
      </x:c>
      <x:c r="O247" s="11" t="str">
        <x:v>高度 15.5 cm（官方本款规格的约全高；是否计入底座未单独说明）</x:v>
      </x:c>
      <x:c r="P247" s="11" t="str">
        <x:v>本款规格：无固定比例；高度 15.5 cm（官方本款规格的约全高；是否计入底座未单独说明）；材料：塑料；交付：待拼装。
版本与商品范围：原始商品名：PLAMATEA Yuki Yuna。作品／产品线：Yuki Yuna is a Hero: The Great Mankai Chapter。官方页面标示出货月：2026-10；计划月份不作为已出货证明。
换件与适配：来源明确的操作：换脸、换手、水贴定制。跨品牌接口、身体和衣物互换不从系列名称推断；具体限制应以本款产品页为准。</x:v>
      </x:c>
      <x:c r="Q247" s="11" t="str">
        <x:v>未取得产品对应证据</x:v>
      </x:c>
      <x:c r="R247" s="11" t="str">
        <x:v>2026-10-05</x:v>
      </x:c>
      <x:c r="S247" s="11" t="str">
        <x:v>gsc-plamatea-1137794</x:v>
      </x:c>
      <x:c r="T247" s="11" t="str">
        <x:v>https://www.goodsmile.com/en/product/1137794</x:v>
      </x:c>
    </x:row>
    <x:row r="248" ht="111" customHeight="1">
      <x:c r="A248" s="11" t="str">
        <x:v>PLAMATEA Shigure Kai San</x:v>
      </x:c>
      <x:c r="B248" s="11" t="str">
        <x:v>Good Smile Company</x:v>
      </x:c>
      <x:c r="C248" s="12" t="str">
        <x:v>关节可动</x:v>
      </x:c>
      <x:c r="D248" s="13" t="str">
        <x:v>待拼装</x:v>
      </x:c>
      <x:c r="E248" s="20" t="str">
        <x:v>无固定比例</x:v>
      </x:c>
      <x:c r="F248" s="21" t="n">
        <x:v>145</x:v>
      </x:c>
      <x:c r="G248" s="16" t="str">
        <x:v>官方本款规格的约全高；是否计入底座未单独说明</x:v>
      </x:c>
      <x:c r="H248" s="17" t="str">
        <x:v>换手、水贴定制</x:v>
      </x:c>
      <x:c r="I248" s="18" t="str">
        <x:v>塑料</x:v>
      </x:c>
      <x:c r="J248" s="19" t="str">
        <x:v>角色人形</x:v>
      </x:c>
      <x:c r="K248" s="11" t="str">
        <x:v>PLAMATEA Shigure Kai San</x:v>
      </x:c>
      <x:c r="L248" s="11" t="str">
        <x:v>未单独核对</x:v>
      </x:c>
      <x:c r="M248" s="11" t="str">
        <x:v>未披露</x:v>
      </x:c>
      <x:c r="N248" s="11" t="str">
        <x:v>本款官方产品页版本；再版与配色名称按原始商品名保留，不推断所有批次。</x:v>
      </x:c>
      <x:c r="O248" s="11" t="str">
        <x:v>高度 14.5 cm（官方本款规格的约全高；是否计入底座未单独说明）</x:v>
      </x:c>
      <x:c r="P248" s="11" t="str">
        <x:v>本款规格：无固定比例；高度 14.5 cm（官方本款规格的约全高；是否计入底座未单独说明）；材料：塑料；交付：待拼装。
版本与商品范围：原始商品名：PLAMATEA Shigure Kai San。作品／产品线：Kantai Collection -Kancolle-。官方页面标示出货月：2026-09；计划月份不作为已出货证明。
换件与适配：来源明确的操作：换手、水贴定制。跨品牌接口、身体和衣物互换不从系列名称推断；具体限制应以本款产品页为准。</x:v>
      </x:c>
      <x:c r="Q248" s="11" t="str">
        <x:v>未取得产品对应证据</x:v>
      </x:c>
      <x:c r="R248" s="11" t="str">
        <x:v>2026-10-05</x:v>
      </x:c>
      <x:c r="S248" s="11" t="str">
        <x:v>gsc-plamatea-34684</x:v>
      </x:c>
      <x:c r="T248" s="11" t="str">
        <x:v>https://www.goodsmile.com/en/product/34684</x:v>
      </x:c>
    </x:row>
    <x:row r="249" ht="111" customHeight="1">
      <x:c r="A249" s="11" t="str">
        <x:v>PLAMATEA 初音未来: Happy 16th Birthday Ver.</x:v>
      </x:c>
      <x:c r="B249" s="11" t="str">
        <x:v>Max Factory</x:v>
      </x:c>
      <x:c r="C249" s="12" t="str">
        <x:v>关节可动</x:v>
      </x:c>
      <x:c r="D249" s="13" t="str">
        <x:v>待拼装</x:v>
      </x:c>
      <x:c r="E249" s="20" t="str">
        <x:v>无固定比例</x:v>
      </x:c>
      <x:c r="F249" s="21" t="n">
        <x:v>160</x:v>
      </x:c>
      <x:c r="G249" s="16" t="str">
        <x:v>官方本款规格的约全高；是否计入底座未单独说明</x:v>
      </x:c>
      <x:c r="H249" s="17" t="str">
        <x:v>换脸</x:v>
      </x:c>
      <x:c r="I249" s="18" t="str">
        <x:v>塑料</x:v>
      </x:c>
      <x:c r="J249" s="19" t="str">
        <x:v>角色人形</x:v>
      </x:c>
      <x:c r="K249" s="11" t="str">
        <x:v>PLAMATEA Hatsune Miku: Happy 16th Birthday Ver.</x:v>
      </x:c>
      <x:c r="L249" s="11" t="str">
        <x:v>未单独核对</x:v>
      </x:c>
      <x:c r="M249" s="11" t="str">
        <x:v>未披露</x:v>
      </x:c>
      <x:c r="N249" s="11" t="str">
        <x:v>本款官方产品页版本；再版与配色名称按原始商品名保留，不推断所有批次。</x:v>
      </x:c>
      <x:c r="O249" s="11" t="str">
        <x:v>高度 16 cm（官方本款规格的约全高；是否计入底座未单独说明）</x:v>
      </x:c>
      <x:c r="P249" s="11" t="str">
        <x:v>本款规格：无固定比例；高度 16 cm（官方本款规格的约全高；是否计入底座未单独说明）；材料：塑料；交付：待拼装。
版本与商品范围：原始商品名：PLAMATEA Hatsune Miku: Happy 16th Birthday Ver.。作品／产品线：Character Vocal Series 01: Hatsune Miku。官方页面标示出货月：2026-10；计划月份不作为已出货证明。
换件与适配：来源明确的操作：换脸。跨品牌接口、身体和衣物互换不从系列名称推断；具体限制应以本款产品页为准。</x:v>
      </x:c>
      <x:c r="Q249" s="11" t="str">
        <x:v>未取得产品对应证据</x:v>
      </x:c>
      <x:c r="R249" s="11" t="str">
        <x:v>2026-10-05</x:v>
      </x:c>
      <x:c r="S249" s="11" t="str">
        <x:v>gsc-plamatea-57238</x:v>
      </x:c>
      <x:c r="T249" s="11" t="str">
        <x:v>https://www.goodsmile.com/en/product/57238</x:v>
      </x:c>
    </x:row>
    <x:row r="250" ht="110" customHeight="1">
      <x:c r="A250" s="11" t="str">
        <x:v>Pure Neemo 2 Feel · S · 白肌</x:v>
      </x:c>
      <x:c r="B250" s="11" t="str">
        <x:v>AZONE</x:v>
      </x:c>
      <x:c r="C250" s="12" t="str">
        <x:v>关节可动</x:v>
      </x:c>
      <x:c r="D250" s="13" t="str">
        <x:v>素体成品、头部另配</x:v>
      </x:c>
      <x:c r="E250" s="20" t="str">
        <x:v>比例 1:6</x:v>
      </x:c>
      <x:c r="F250" s="21"/>
      <x:c r="G250" s="16" t="str">
        <x:v>未披露</x:v>
      </x:c>
      <x:c r="H250" s="17" t="str">
        <x:v>服装另配</x:v>
      </x:c>
      <x:c r="I250" s="18" t="str">
        <x:v>材料未披露</x:v>
      </x:c>
      <x:c r="J250" s="19" t="str">
        <x:v>素体</x:v>
      </x:c>
      <x:c r="K250" s="11" t="str">
        <x:v>ピュアニーモ2フィール S／女の子 PFL103-WHT</x:v>
      </x:c>
      <x:c r="L250" s="11" t="str">
        <x:v>日本</x:v>
      </x:c>
      <x:c r="M250" s="11" t="str">
        <x:v>未披露</x:v>
      </x:c>
      <x:c r="N250" s="11" t="str">
        <x:v>单独出售的素体；头、衣服、肤色与改版按本款来源分别核对。</x:v>
      </x:c>
      <x:c r="O250" s="11" t="str">
        <x:v>未披露</x:v>
      </x:c>
      <x:c r="P250" s="11" t="str">
        <x:v>本款交付：型号 PFL103-WHT，白肌，头部不附属。
结构版本：Feel 系列重新调整 Emotion 的关节结构及外形。本条为普通白肌版本，不混入另售的 Silky Skin 型号。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0" s="11" t="str">
        <x:v>未取得产品对应证据</x:v>
      </x:c>
      <x:c r="R250" s="11" t="str">
        <x:v>2026-10-06</x:v>
      </x:c>
      <x:c r="S250" s="11" t="str">
        <x:v>azone-body-pfl103-wht</x:v>
      </x:c>
      <x:c r="T250" s="11" t="str">
        <x:v>https://www.azone-int.co.jp/azonet/item/4573199849805</x:v>
      </x:c>
    </x:row>
    <x:row r="251" ht="110" customHeight="1">
      <x:c r="A251" s="11" t="str">
        <x:v>Pure Neemo 2 Feel · M · 白肌</x:v>
      </x:c>
      <x:c r="B251" s="11" t="str">
        <x:v>AZONE</x:v>
      </x:c>
      <x:c r="C251" s="12" t="str">
        <x:v>关节可动</x:v>
      </x:c>
      <x:c r="D251" s="13" t="str">
        <x:v>素体成品、头部另配</x:v>
      </x:c>
      <x:c r="E251" s="20" t="str">
        <x:v>比例 1:6</x:v>
      </x:c>
      <x:c r="F251" s="21"/>
      <x:c r="G251" s="16" t="str">
        <x:v>未披露</x:v>
      </x:c>
      <x:c r="H251" s="17" t="str">
        <x:v>服装另配</x:v>
      </x:c>
      <x:c r="I251" s="18" t="str">
        <x:v>材料未披露</x:v>
      </x:c>
      <x:c r="J251" s="19" t="str">
        <x:v>素体</x:v>
      </x:c>
      <x:c r="K251" s="11" t="str">
        <x:v>ピュアニーモ2フィール M／女の子 PFL104-WHT</x:v>
      </x:c>
      <x:c r="L251" s="11" t="str">
        <x:v>日本</x:v>
      </x:c>
      <x:c r="M251" s="11" t="str">
        <x:v>未披露</x:v>
      </x:c>
      <x:c r="N251" s="11" t="str">
        <x:v>单独出售的素体；头、衣服、肤色与改版按本款来源分别核对。</x:v>
      </x:c>
      <x:c r="O251" s="11" t="str">
        <x:v>未披露</x:v>
      </x:c>
      <x:c r="P251" s="11" t="str">
        <x:v>本款交付：型号 PFL104-WHT，白肌，头部不附属。
结构版本：Feel 系列重新调整 Emotion 的关节结构及外形。本条为普通白肌版本，不混入另售的 Silky Skin 型号。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1" s="11" t="str">
        <x:v>未取得产品对应证据</x:v>
      </x:c>
      <x:c r="R251" s="11" t="str">
        <x:v>2026-10-06</x:v>
      </x:c>
      <x:c r="S251" s="11" t="str">
        <x:v>azone-body-pfl104-wht</x:v>
      </x:c>
      <x:c r="T251" s="11" t="str">
        <x:v>https://www.azone-int.co.jp/azonet/item/4573199849812</x:v>
      </x:c>
    </x:row>
    <x:row r="252" ht="110" customHeight="1">
      <x:c r="A252" s="11" t="str">
        <x:v>Pure Neemo 2 Emotion · S · 白肌</x:v>
      </x:c>
      <x:c r="B252" s="11" t="str">
        <x:v>AZONE</x:v>
      </x:c>
      <x:c r="C252" s="12" t="str">
        <x:v>关节可动</x:v>
      </x:c>
      <x:c r="D252" s="13" t="str">
        <x:v>素体成品、头部另配</x:v>
      </x:c>
      <x:c r="E252" s="20" t="str">
        <x:v>比例 1:6</x:v>
      </x:c>
      <x:c r="F252" s="21"/>
      <x:c r="G252" s="16" t="str">
        <x:v>未披露</x:v>
      </x:c>
      <x:c r="H252" s="17" t="str">
        <x:v>服装另配</x:v>
      </x:c>
      <x:c r="I252" s="18" t="str">
        <x:v>材料未披露</x:v>
      </x:c>
      <x:c r="J252" s="19" t="str">
        <x:v>素体</x:v>
      </x:c>
      <x:c r="K252" s="11" t="str">
        <x:v>ピュアニーモ2エモーション S／女の子 PFL099-WHT</x:v>
      </x:c>
      <x:c r="L252" s="11" t="str">
        <x:v>日本</x:v>
      </x:c>
      <x:c r="M252" s="11" t="str">
        <x:v>未披露</x:v>
      </x:c>
      <x:c r="N252" s="11" t="str">
        <x:v>单独出售的素体；头、衣服、肤色与改版按本款来源分别核对。</x:v>
      </x:c>
      <x:c r="O252" s="11" t="str">
        <x:v>未披露</x:v>
      </x:c>
      <x:c r="P252" s="11" t="str">
        <x:v>本款交付：型号 PFL099-WHT，白肌，头部不附属。
结构版本：Emotion 系列增加胸下与腰部活动结构；本款白肌 SKU 单列。
高度与配件限制：官方本款页未给出素体厘米高度；不借用装头整娃的全高。 本款页注明 2025-03-03 起出货批次不再附高跟脚；旧系列介绍中的配件不能套用到新批次。
销售页面口径：页面库存、再入荷及会员购买限制可能变化；此条是型号资料，不表示现货或代购热度排名。</x:v>
      </x:c>
      <x:c r="Q252" s="11" t="str">
        <x:v>未取得产品对应证据</x:v>
      </x:c>
      <x:c r="R252" s="11" t="str">
        <x:v>2026-10-06</x:v>
      </x:c>
      <x:c r="S252" s="11" t="str">
        <x:v>azone-body-pfl099-wht</x:v>
      </x:c>
      <x:c r="T252" s="11" t="str">
        <x:v>https://www.azone-int.co.jp/azonet/item/4573199846163</x:v>
      </x:c>
    </x:row>
    <x:row r="253" ht="110" customHeight="1">
      <x:c r="A253" s="11" t="str">
        <x:v>Pure Neemo 2 Emotion · M · 白肌</x:v>
      </x:c>
      <x:c r="B253" s="11" t="str">
        <x:v>AZONE</x:v>
      </x:c>
      <x:c r="C253" s="12" t="str">
        <x:v>关节可动</x:v>
      </x:c>
      <x:c r="D253" s="13" t="str">
        <x:v>素体成品、头部另配</x:v>
      </x:c>
      <x:c r="E253" s="20" t="str">
        <x:v>比例 1:6</x:v>
      </x:c>
      <x:c r="F253" s="21"/>
      <x:c r="G253" s="16" t="str">
        <x:v>未披露</x:v>
      </x:c>
      <x:c r="H253" s="17" t="str">
        <x:v>服装另配</x:v>
      </x:c>
      <x:c r="I253" s="18" t="str">
        <x:v>材料未披露</x:v>
      </x:c>
      <x:c r="J253" s="19" t="str">
        <x:v>素体</x:v>
      </x:c>
      <x:c r="K253" s="11" t="str">
        <x:v>ピュアニーモ2エモーション M／女の子 PFL100-WHT</x:v>
      </x:c>
      <x:c r="L253" s="11" t="str">
        <x:v>日本</x:v>
      </x:c>
      <x:c r="M253" s="11" t="str">
        <x:v>未披露</x:v>
      </x:c>
      <x:c r="N253" s="11" t="str">
        <x:v>单独出售的素体；头、衣服、肤色与改版按本款来源分别核对。</x:v>
      </x:c>
      <x:c r="O253" s="11" t="str">
        <x:v>未披露</x:v>
      </x:c>
      <x:c r="P253" s="11" t="str">
        <x:v>本款交付：型号 PFL100-WHT，白肌，头部不附属。
结构版本：Emotion 系列增加胸下与腰部活动结构；本款白肌 SKU 单列。
高度与配件限制：官方本款页未给出素体厘米高度；不借用装头整娃的全高。 本款页注明 2025-03-03 起出货批次不再附高跟脚；旧系列介绍中的配件不能套用到新批次。
销售页面口径：页面库存、再入荷及会员购买限制可能变化；此条是型号资料，不表示现货或代购热度排名。</x:v>
      </x:c>
      <x:c r="Q253" s="11" t="str">
        <x:v>未取得产品对应证据</x:v>
      </x:c>
      <x:c r="R253" s="11" t="str">
        <x:v>2026-10-06</x:v>
      </x:c>
      <x:c r="S253" s="11" t="str">
        <x:v>azone-body-pfl100-wht</x:v>
      </x:c>
      <x:c r="T253" s="11" t="str">
        <x:v>https://www.azone-int.co.jp/azonet/item/4573199846187</x:v>
      </x:c>
    </x:row>
    <x:row r="254" ht="110" customHeight="1">
      <x:c r="A254" s="11" t="str">
        <x:v>Pure Neemo Flection · M · 白肌</x:v>
      </x:c>
      <x:c r="B254" s="11" t="str">
        <x:v>AZONE</x:v>
      </x:c>
      <x:c r="C254" s="12" t="str">
        <x:v>关节可动</x:v>
      </x:c>
      <x:c r="D254" s="13" t="str">
        <x:v>素体成品、头部另配</x:v>
      </x:c>
      <x:c r="E254" s="20" t="str">
        <x:v>比例 1:6</x:v>
      </x:c>
      <x:c r="F254" s="21"/>
      <x:c r="G254" s="16" t="str">
        <x:v>未披露</x:v>
      </x:c>
      <x:c r="H254" s="17" t="str">
        <x:v>服装另配</x:v>
      </x:c>
      <x:c r="I254" s="18" t="str">
        <x:v>材料未披露</x:v>
      </x:c>
      <x:c r="J254" s="19" t="str">
        <x:v>素体</x:v>
      </x:c>
      <x:c r="K254" s="11" t="str">
        <x:v>ピュアニーモフレクション M／女の子 PFL088-WHT</x:v>
      </x:c>
      <x:c r="L254" s="11" t="str">
        <x:v>日本</x:v>
      </x:c>
      <x:c r="M254" s="11" t="str">
        <x:v>未披露</x:v>
      </x:c>
      <x:c r="N254" s="11" t="str">
        <x:v>单独出售的素体；头、衣服、肤色与改版按本款来源分别核对。</x:v>
      </x:c>
      <x:c r="O254" s="11" t="str">
        <x:v>未披露</x:v>
      </x:c>
      <x:c r="P254" s="11" t="str">
        <x:v>本款交付：型号 PFL088-WHT，白肌，头部不附属。
结构版本：Flection 为关节可动素体。保留本款 M 女孩白肌型号，不从同系列尺寸字母推算高度。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4" s="11" t="str">
        <x:v>未取得产品对应证据</x:v>
      </x:c>
      <x:c r="R254" s="11" t="str">
        <x:v>2026-10-06</x:v>
      </x:c>
      <x:c r="S254" s="11" t="str">
        <x:v>azone-body-pfl088-wht</x:v>
      </x:c>
      <x:c r="T254" s="11" t="str">
        <x:v>https://www.azone-int.co.jp/azonet/item/4573199841397</x:v>
      </x:c>
    </x:row>
    <x:row r="255" ht="110" customHeight="1">
      <x:c r="A255" s="11" t="str">
        <x:v>Picco Neemo · S 女孩 · 白肌</x:v>
      </x:c>
      <x:c r="B255" s="11" t="str">
        <x:v>AZONE</x:v>
      </x:c>
      <x:c r="C255" s="12" t="str">
        <x:v>关节可动</x:v>
      </x:c>
      <x:c r="D255" s="13" t="str">
        <x:v>素体成品、头部另配</x:v>
      </x:c>
      <x:c r="E255" s="20" t="str">
        <x:v>比例 1:12</x:v>
      </x:c>
      <x:c r="F255" s="21"/>
      <x:c r="G255" s="16" t="str">
        <x:v>未披露</x:v>
      </x:c>
      <x:c r="H255" s="17" t="str">
        <x:v>服装另配</x:v>
      </x:c>
      <x:c r="I255" s="18" t="str">
        <x:v>材料未披露</x:v>
      </x:c>
      <x:c r="J255" s="19" t="str">
        <x:v>素体</x:v>
      </x:c>
      <x:c r="K255" s="11" t="str">
        <x:v>1／12 ピコニーモS 女の子 PCN038-WHT</x:v>
      </x:c>
      <x:c r="L255" s="11" t="str">
        <x:v>日本</x:v>
      </x:c>
      <x:c r="M255" s="11" t="str">
        <x:v>未披露</x:v>
      </x:c>
      <x:c r="N255" s="11" t="str">
        <x:v>单独出售的素体；头、衣服、肤色与改版按本款来源分别核对。</x:v>
      </x:c>
      <x:c r="O255" s="11" t="str">
        <x:v>未披露</x:v>
      </x:c>
      <x:c r="P255" s="11" t="str">
        <x:v>本款交付：型号 PCN038-WHT，白肌，头部不附属。
结构版本：Picco Neemo 为 1:12 可动素体。S、M、D 与胸部规格分别记录，换手接口不默认通用。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5" s="11" t="str">
        <x:v>未取得产品对应证据</x:v>
      </x:c>
      <x:c r="R255" s="11" t="str">
        <x:v>2026-10-06</x:v>
      </x:c>
      <x:c r="S255" s="11" t="str">
        <x:v>azone-body-pcn038-wht</x:v>
      </x:c>
      <x:c r="T255" s="11" t="str">
        <x:v>https://www.azone-int.co.jp/azonet/item/4573199841533</x:v>
      </x:c>
    </x:row>
    <x:row r="256" ht="110" customHeight="1">
      <x:c r="A256" s="11" t="str">
        <x:v>Picco Neemo · M 女孩 · 白肌</x:v>
      </x:c>
      <x:c r="B256" s="11" t="str">
        <x:v>AZONE</x:v>
      </x:c>
      <x:c r="C256" s="12" t="str">
        <x:v>关节可动</x:v>
      </x:c>
      <x:c r="D256" s="13" t="str">
        <x:v>素体成品、头部另配</x:v>
      </x:c>
      <x:c r="E256" s="20" t="str">
        <x:v>比例 1:12</x:v>
      </x:c>
      <x:c r="F256" s="21"/>
      <x:c r="G256" s="16" t="str">
        <x:v>未披露</x:v>
      </x:c>
      <x:c r="H256" s="17" t="str">
        <x:v>服装另配</x:v>
      </x:c>
      <x:c r="I256" s="18" t="str">
        <x:v>材料未披露</x:v>
      </x:c>
      <x:c r="J256" s="19" t="str">
        <x:v>素体</x:v>
      </x:c>
      <x:c r="K256" s="11" t="str">
        <x:v>1／12 ピコニーモM 女の子 PCN043-WHT</x:v>
      </x:c>
      <x:c r="L256" s="11" t="str">
        <x:v>日本</x:v>
      </x:c>
      <x:c r="M256" s="11" t="str">
        <x:v>未披露</x:v>
      </x:c>
      <x:c r="N256" s="11" t="str">
        <x:v>单独出售的素体；头、衣服、肤色与改版按本款来源分别核对。</x:v>
      </x:c>
      <x:c r="O256" s="11" t="str">
        <x:v>未披露</x:v>
      </x:c>
      <x:c r="P256" s="11" t="str">
        <x:v>本款交付：型号 PCN043-WHT，白肌，头部不附属。
结构版本：Picco Neemo 为 1:12 可动素体。S、M、D 与胸部规格分别记录，换手接口不默认通用。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6" s="11" t="str">
        <x:v>未取得产品对应证据</x:v>
      </x:c>
      <x:c r="R256" s="11" t="str">
        <x:v>2026-10-06</x:v>
      </x:c>
      <x:c r="S256" s="11" t="str">
        <x:v>azone-body-pcn043-wht</x:v>
      </x:c>
      <x:c r="T256" s="11" t="str">
        <x:v>https://www.azone-int.co.jp/azonet/item/4573199841564</x:v>
      </x:c>
    </x:row>
    <x:row r="257" ht="110" customHeight="1">
      <x:c r="A257" s="11" t="str">
        <x:v>Picco Neemo · S 女孩 LL 胸 · 白肌</x:v>
      </x:c>
      <x:c r="B257" s="11" t="str">
        <x:v>AZONE</x:v>
      </x:c>
      <x:c r="C257" s="12" t="str">
        <x:v>关节可动</x:v>
      </x:c>
      <x:c r="D257" s="13" t="str">
        <x:v>素体成品、头部另配</x:v>
      </x:c>
      <x:c r="E257" s="20" t="str">
        <x:v>比例 1:12</x:v>
      </x:c>
      <x:c r="F257" s="21"/>
      <x:c r="G257" s="16" t="str">
        <x:v>未披露</x:v>
      </x:c>
      <x:c r="H257" s="17" t="str">
        <x:v>服装另配</x:v>
      </x:c>
      <x:c r="I257" s="18" t="str">
        <x:v>材料未披露</x:v>
      </x:c>
      <x:c r="J257" s="19" t="str">
        <x:v>素体</x:v>
      </x:c>
      <x:c r="K257" s="11" t="str">
        <x:v>1／12 ピコニーモS 女の子 LLバスト PCN041-WHT</x:v>
      </x:c>
      <x:c r="L257" s="11" t="str">
        <x:v>日本</x:v>
      </x:c>
      <x:c r="M257" s="11" t="str">
        <x:v>未披露</x:v>
      </x:c>
      <x:c r="N257" s="11" t="str">
        <x:v>单独出售的素体；头、衣服、肤色与改版按本款来源分别核对。</x:v>
      </x:c>
      <x:c r="O257" s="11" t="str">
        <x:v>未披露</x:v>
      </x:c>
      <x:c r="P257" s="11" t="str">
        <x:v>本款交付：型号 PCN041-WHT，白肌，头部不附属。胸部规格 LL。
结构版本：Picco Neemo 为 1:12 可动素体。S、M、D 与胸部规格分别记录，换手接口不默认通用。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7" s="11" t="str">
        <x:v>未取得产品对应证据</x:v>
      </x:c>
      <x:c r="R257" s="11" t="str">
        <x:v>2026-10-06</x:v>
      </x:c>
      <x:c r="S257" s="11" t="str">
        <x:v>azone-body-pcn041-wht</x:v>
      </x:c>
      <x:c r="T257" s="11" t="str">
        <x:v>https://www.azone-int.co.jp/azonet/item/4573199841540</x:v>
      </x:c>
    </x:row>
    <x:row r="258" ht="110" customHeight="1">
      <x:c r="A258" s="11" t="str">
        <x:v>Picco Neemo · S 女孩 3L 胸 · 白肌</x:v>
      </x:c>
      <x:c r="B258" s="11" t="str">
        <x:v>AZONE</x:v>
      </x:c>
      <x:c r="C258" s="12" t="str">
        <x:v>关节可动</x:v>
      </x:c>
      <x:c r="D258" s="13" t="str">
        <x:v>素体成品、头部另配</x:v>
      </x:c>
      <x:c r="E258" s="20" t="str">
        <x:v>比例 1:12</x:v>
      </x:c>
      <x:c r="F258" s="21"/>
      <x:c r="G258" s="16" t="str">
        <x:v>未披露</x:v>
      </x:c>
      <x:c r="H258" s="17" t="str">
        <x:v>服装另配</x:v>
      </x:c>
      <x:c r="I258" s="18" t="str">
        <x:v>材料未披露</x:v>
      </x:c>
      <x:c r="J258" s="19" t="str">
        <x:v>素体</x:v>
      </x:c>
      <x:c r="K258" s="11" t="str">
        <x:v>1／12 ピコニーモS 女の子 3Lバスト PCN042-WHT</x:v>
      </x:c>
      <x:c r="L258" s="11" t="str">
        <x:v>日本</x:v>
      </x:c>
      <x:c r="M258" s="11" t="str">
        <x:v>未披露</x:v>
      </x:c>
      <x:c r="N258" s="11" t="str">
        <x:v>单独出售的素体；头、衣服、肤色与改版按本款来源分别核对。</x:v>
      </x:c>
      <x:c r="O258" s="11" t="str">
        <x:v>未披露</x:v>
      </x:c>
      <x:c r="P258" s="11" t="str">
        <x:v>本款交付：型号 PCN042-WHT，白肌，头部不附属。胸部规格 3L。
结构版本：Picco Neemo 为 1:12 可动素体。S、M、D 与胸部规格分别记录，换手接口不默认通用。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8" s="11" t="str">
        <x:v>未取得产品对应证据</x:v>
      </x:c>
      <x:c r="R258" s="11" t="str">
        <x:v>2026-10-06</x:v>
      </x:c>
      <x:c r="S258" s="11" t="str">
        <x:v>azone-body-pcn042-wht</x:v>
      </x:c>
      <x:c r="T258" s="11" t="str">
        <x:v>https://www.azone-int.co.jp/azonet/item/4573199841557</x:v>
      </x:c>
    </x:row>
    <x:row r="259" ht="110" customHeight="1">
      <x:c r="A259" s="11" t="str">
        <x:v>Picco Neemo D · 弟弟 · 白肌</x:v>
      </x:c>
      <x:c r="B259" s="11" t="str">
        <x:v>AZONE</x:v>
      </x:c>
      <x:c r="C259" s="12" t="str">
        <x:v>关节可动</x:v>
      </x:c>
      <x:c r="D259" s="13" t="str">
        <x:v>素体成品、头部另配</x:v>
      </x:c>
      <x:c r="E259" s="20" t="str">
        <x:v>比例 1:12</x:v>
      </x:c>
      <x:c r="F259" s="21"/>
      <x:c r="G259" s="16" t="str">
        <x:v>未披露</x:v>
      </x:c>
      <x:c r="H259" s="17" t="str">
        <x:v>服装另配</x:v>
      </x:c>
      <x:c r="I259" s="18" t="str">
        <x:v>材料未披露</x:v>
      </x:c>
      <x:c r="J259" s="19" t="str">
        <x:v>素体</x:v>
      </x:c>
      <x:c r="K259" s="11" t="str">
        <x:v>1／12 ピコニーモD 弟 PCN048-WHT</x:v>
      </x:c>
      <x:c r="L259" s="11" t="str">
        <x:v>日本</x:v>
      </x:c>
      <x:c r="M259" s="11" t="str">
        <x:v>未披露</x:v>
      </x:c>
      <x:c r="N259" s="11" t="str">
        <x:v>单独出售的素体；头、衣服、肤色与改版按本款来源分别核对。</x:v>
      </x:c>
      <x:c r="O259" s="11" t="str">
        <x:v>未披露</x:v>
      </x:c>
      <x:c r="P259" s="11" t="str">
        <x:v>本款交付：型号 PCN048-WHT，白肌，头部不附属。
结构版本：Picco Neemo 为 1:12 可动素体。S、M、D 与胸部规格分别记录，换手接口不默认通用。
高度与配件限制：官方本款页未给出素体厘米高度；不借用装头整娃的全高。
销售页面口径：页面库存、再入荷及会员购买限制可能变化；此条是型号资料，不表示现货或代购热度排名。</x:v>
      </x:c>
      <x:c r="Q259" s="11" t="str">
        <x:v>未取得产品对应证据</x:v>
      </x:c>
      <x:c r="R259" s="11" t="str">
        <x:v>2026-10-06</x:v>
      </x:c>
      <x:c r="S259" s="11" t="str">
        <x:v>azone-body-pcn048-wht</x:v>
      </x:c>
      <x:c r="T259" s="11" t="str">
        <x:v>https://www.azone-int.co.jp/azonet/item/4573199848051</x:v>
      </x:c>
    </x:row>
    <x:row r="260" ht="110" customHeight="1">
      <x:c r="A260" s="11" t="str">
        <x:v>OBITSU 26 cm · S 胸</x:v>
      </x:c>
      <x:c r="B260" s="11" t="str">
        <x:v>OBITSU</x:v>
      </x:c>
      <x:c r="C260" s="12" t="str">
        <x:v>内部骨架</x:v>
      </x:c>
      <x:c r="D260" s="13" t="str">
        <x:v>素体成品、头部另配</x:v>
      </x:c>
      <x:c r="E260" s="20" t="str">
        <x:v>比例 1:6</x:v>
      </x:c>
      <x:c r="F260" s="21" t="n">
        <x:v>260</x:v>
      </x:c>
      <x:c r="G260" s="16" t="str">
        <x:v>官方本款素体规格（头部另配）；是否计入头部连接件未单独说明</x:v>
      </x:c>
      <x:c r="H260" s="17" t="str">
        <x:v>服装另配、换手</x:v>
      </x:c>
      <x:c r="I260" s="18" t="str">
        <x:v>ABS、POM、PVC</x:v>
      </x:c>
      <x:c r="J260" s="19" t="str">
        <x:v>素体</x:v>
      </x:c>
      <x:c r="K260" s="11" t="str">
        <x:v>26BD-F01N-S / OBITSU BODY 26</x:v>
      </x:c>
      <x:c r="L260" s="11" t="str">
        <x:v>日本</x:v>
      </x:c>
      <x:c r="M260" s="11" t="str">
        <x:v>未披露</x:v>
      </x:c>
      <x:c r="N260" s="11" t="str">
        <x:v>单独出售的素体；头、衣服、肤色与改版按本款来源分别核对。</x:v>
      </x:c>
      <x:c r="O260" s="11" t="str">
        <x:v>素体 26 cm（官方本款素体规格（头部另配）；是否计入头部连接件未单独说明）</x:v>
      </x:c>
      <x:c r="P260" s="11" t="str">
        <x:v>本款型号：26BD-F01N-S。胸到腰采用软质外皮与内部骨架。附握手、持物手、头部连接件及固定垫片；头部另配。
适配与维护：官方列出 24 / 26 兼用的换手配套；头部与衣服适配仍需核对具体对象。</x:v>
      </x:c>
      <x:c r="Q260" s="11" t="str">
        <x:v>未取得产品对应证据</x:v>
      </x:c>
      <x:c r="R260" s="11" t="str">
        <x:v>2026-10-06</x:v>
      </x:c>
      <x:c r="S260" s="11" t="str">
        <x:v>bare-26bd-f01n-s</x:v>
      </x:c>
      <x:c r="T260" s="11" t="str">
        <x:v>https://obitsu.co.jp/doll-division/obitsu-body-and-parts/obitsu-body/obitsu-body-26/</x:v>
      </x:c>
    </x:row>
    <x:row r="261" ht="110" customHeight="1">
      <x:c r="A261" s="11" t="str">
        <x:v>OBITSU 27 cm · 男性 Slim</x:v>
      </x:c>
      <x:c r="B261" s="11" t="str">
        <x:v>OBITSU</x:v>
      </x:c>
      <x:c r="C261" s="12" t="str">
        <x:v>关节可动、双重关节</x:v>
      </x:c>
      <x:c r="D261" s="13" t="str">
        <x:v>素体成品、头部另配</x:v>
      </x:c>
      <x:c r="E261" s="20" t="str">
        <x:v>比例 1:6</x:v>
      </x:c>
      <x:c r="F261" s="21" t="n">
        <x:v>270</x:v>
      </x:c>
      <x:c r="G261" s="16" t="str">
        <x:v>官方本款素体规格（头部另配）；是否计入头部连接件未单独说明</x:v>
      </x:c>
      <x:c r="H261" s="17" t="str">
        <x:v>服装另配、换手</x:v>
      </x:c>
      <x:c r="I261" s="18" t="str">
        <x:v>材料未披露</x:v>
      </x:c>
      <x:c r="J261" s="19" t="str">
        <x:v>素体</x:v>
      </x:c>
      <x:c r="K261" s="11" t="str">
        <x:v>27BD-M03N / OBITSU BODY 27 MEN Slim</x:v>
      </x:c>
      <x:c r="L261" s="11" t="str">
        <x:v>日本</x:v>
      </x:c>
      <x:c r="M261" s="11" t="str">
        <x:v>未披露</x:v>
      </x:c>
      <x:c r="N261" s="11" t="str">
        <x:v>单独出售的素体；头、衣服、肤色与改版按本款来源分别核对。</x:v>
      </x:c>
      <x:c r="O261" s="11" t="str">
        <x:v>素体 27 cm（官方本款素体规格（头部另配）；是否计入头部连接件未单独说明）</x:v>
      </x:c>
      <x:c r="P261" s="11" t="str">
        <x:v>本款型号：27BD-M03N。男性 Slim 型号，附握手、持物手、头部连接件及肩／脚踝延长环。
适配与维护：新型 Slim 不混同旧男性身体；本页未明确每个部件的材料。</x:v>
      </x:c>
      <x:c r="Q261" s="11" t="str">
        <x:v>未取得产品对应证据</x:v>
      </x:c>
      <x:c r="R261" s="11" t="str">
        <x:v>2026-10-06</x:v>
      </x:c>
      <x:c r="S261" s="11" t="str">
        <x:v>bare-27bd-m03n</x:v>
      </x:c>
      <x:c r="T261" s="11" t="str">
        <x:v>https://obitsu.co.jp/doll-division/obitsu-body-and-parts/obitsu-body/obitsu-body-27-m/</x:v>
      </x:c>
    </x:row>
    <x:row r="262" ht="110" customHeight="1">
      <x:c r="A262" s="11" t="str">
        <x:v>OBITSU 27 cm · 女性 SBH M 胸</x:v>
      </x:c>
      <x:c r="B262" s="11" t="str">
        <x:v>OBITSU</x:v>
      </x:c>
      <x:c r="C262" s="12" t="str">
        <x:v>内部骨架、双重关节</x:v>
      </x:c>
      <x:c r="D262" s="13" t="str">
        <x:v>素体成品、头部另配</x:v>
      </x:c>
      <x:c r="E262" s="20" t="str">
        <x:v>比例 1:6</x:v>
      </x:c>
      <x:c r="F262" s="21" t="n">
        <x:v>270</x:v>
      </x:c>
      <x:c r="G262" s="16" t="str">
        <x:v>官方本款素体规格（头部另配）；是否计入头部连接件未单独说明</x:v>
      </x:c>
      <x:c r="H262" s="17" t="str">
        <x:v>服装另配、换手</x:v>
      </x:c>
      <x:c r="I262" s="18" t="str">
        <x:v>软质乙烯树脂外皮、内部材料未披露</x:v>
      </x:c>
      <x:c r="J262" s="19" t="str">
        <x:v>素体</x:v>
      </x:c>
      <x:c r="K262" s="11" t="str">
        <x:v>27BD-F06N / OBITSU BODY 27 WOMAN – SBH</x:v>
      </x:c>
      <x:c r="L262" s="11" t="str">
        <x:v>日本</x:v>
      </x:c>
      <x:c r="M262" s="11" t="str">
        <x:v>未披露</x:v>
      </x:c>
      <x:c r="N262" s="11" t="str">
        <x:v>单独出售的素体；头、衣服、肤色与改版按本款来源分别核对。</x:v>
      </x:c>
      <x:c r="O262" s="11" t="str">
        <x:v>素体 27 cm（官方本款素体规格（头部另配）；是否计入头部连接件未单独说明）</x:v>
      </x:c>
      <x:c r="P262" s="11" t="str">
        <x:v>本款型号：27BD-F06N。SBH 胸腰软质外皮包覆可拆骨架，维护部件另售。记录 M 胸 Natural 型号；头部不附属。
适配与维护：不同胸部外皮与保守部件按型号选择，不将全系列部件视为跨型号通用。</x:v>
      </x:c>
      <x:c r="Q262" s="11" t="str">
        <x:v>未取得产品对应证据</x:v>
      </x:c>
      <x:c r="R262" s="11" t="str">
        <x:v>2026-10-06</x:v>
      </x:c>
      <x:c r="S262" s="11" t="str">
        <x:v>bare-27bd-f06n</x:v>
      </x:c>
      <x:c r="T262" s="11" t="str">
        <x:v>https://obitsu.co.jp/doll-division/obitsu-body-and-parts/obitsu-body/obitsu-body-27woman-sbh/</x:v>
      </x:c>
    </x:row>
    <x:row r="263" ht="110" customHeight="1">
      <x:c r="A263" s="11" t="str">
        <x:v>OBITSU 30 cm · 男性素体</x:v>
      </x:c>
      <x:c r="B263" s="11" t="str">
        <x:v>OBITSU</x:v>
      </x:c>
      <x:c r="C263" s="12" t="str">
        <x:v>关节可动</x:v>
      </x:c>
      <x:c r="D263" s="13" t="str">
        <x:v>素体成品、头部另配</x:v>
      </x:c>
      <x:c r="E263" s="20" t="str">
        <x:v>未披露</x:v>
      </x:c>
      <x:c r="F263" s="21" t="n">
        <x:v>300</x:v>
      </x:c>
      <x:c r="G263" s="16" t="str">
        <x:v>官方本款素体规格（头部另配）；是否计入头部连接件未单独说明</x:v>
      </x:c>
      <x:c r="H263" s="17" t="str">
        <x:v>服装另配、换手</x:v>
      </x:c>
      <x:c r="I263" s="18" t="str">
        <x:v>ABS、POM</x:v>
      </x:c>
      <x:c r="J263" s="19" t="str">
        <x:v>素体</x:v>
      </x:c>
      <x:c r="K263" s="11" t="str">
        <x:v>30BD-M01N / OBITSU BODY30</x:v>
      </x:c>
      <x:c r="L263" s="11" t="str">
        <x:v>日本</x:v>
      </x:c>
      <x:c r="M263" s="11" t="str">
        <x:v>未披露</x:v>
      </x:c>
      <x:c r="N263" s="11" t="str">
        <x:v>单独出售的素体；头、衣服、肤色与改版按本款来源分别核对。</x:v>
      </x:c>
      <x:c r="O263" s="11" t="str">
        <x:v>素体 30 cm（官方本款素体规格（头部另配）；是否计入头部连接件未单独说明）</x:v>
      </x:c>
      <x:c r="P263" s="11" t="str">
        <x:v>本款型号：30BD-M01N。肩部有向上翻起的活动方式；附握手、持物手、球形头部接头及承接件。
适配与维护：部分连接件设计为越界时脱开；这不表示所有部件可强拆。头、衣服另配；官网未明确标称比例。</x:v>
      </x:c>
      <x:c r="Q263" s="11" t="str">
        <x:v>未取得产品对应证据</x:v>
      </x:c>
      <x:c r="R263" s="11" t="str">
        <x:v>2026-10-06</x:v>
      </x:c>
      <x:c r="S263" s="11" t="str">
        <x:v>bare-30bd-m01n</x:v>
      </x:c>
      <x:c r="T263" s="11" t="str">
        <x:v>https://obitsu.co.jp/doll-division/obitsu-body-and-parts/obitsu-body/obitsu-body30/</x:v>
      </x:c>
    </x:row>
    <x:row r="264" ht="110" customHeight="1">
      <x:c r="A264" s="11" t="str">
        <x:v>OBITSU Ver.1.5 · GGR50 M 胸</x:v>
      </x:c>
      <x:c r="B264" s="11" t="str">
        <x:v>OBITSU</x:v>
      </x:c>
      <x:c r="C264" s="12" t="str">
        <x:v>内部骨架</x:v>
      </x:c>
      <x:c r="D264" s="13" t="str">
        <x:v>素体成品、头部另配</x:v>
      </x:c>
      <x:c r="E264" s="20" t="str">
        <x:v>未披露</x:v>
      </x:c>
      <x:c r="F264" s="21"/>
      <x:c r="G264" s="16" t="str">
        <x:v>未披露</x:v>
      </x:c>
      <x:c r="H264" s="17" t="str">
        <x:v>服装另配、换手</x:v>
      </x:c>
      <x:c r="I264" s="18" t="str">
        <x:v>软质乙烯树脂外皮、内部材料未披露</x:v>
      </x:c>
      <x:c r="J264" s="19" t="str">
        <x:v>素体</x:v>
      </x:c>
      <x:c r="K264" s="11" t="str">
        <x:v>50BD-GGRW-G / OBITSU BODY Ver1.5 GGR50</x:v>
      </x:c>
      <x:c r="L264" s="11" t="str">
        <x:v>日本</x:v>
      </x:c>
      <x:c r="M264" s="11" t="str">
        <x:v>未披露</x:v>
      </x:c>
      <x:c r="N264" s="11" t="str">
        <x:v>单独出售的素体；头、衣服、肤色与改版按本款来源分别核对。</x:v>
      </x:c>
      <x:c r="O264" s="11" t="str">
        <x:v>50 cm 级别（官网级别名称；精确素体全高未披露，不进入高度柱。）</x:v>
      </x:c>
      <x:c r="P264" s="11" t="str">
        <x:v>本款型号：50BD-GGRW-G。沿用并改修 OBITSU 50 骨架，外皮重新造型，上胸为 M 胸。附手部件与金属板，头部另配。
适配与维护：官方称 50 cm 级别，未给出本款测量全高；不把级别名称当作实测身高。不同部件色差与材料老化分别保留。</x:v>
      </x:c>
      <x:c r="Q264" s="11" t="str">
        <x:v>未取得产品对应证据</x:v>
      </x:c>
      <x:c r="R264" s="11" t="str">
        <x:v>2026-10-06</x:v>
      </x:c>
      <x:c r="S264" s="11" t="str">
        <x:v>bare-50bd-ggrw-g</x:v>
      </x:c>
      <x:c r="T264" s="11" t="str">
        <x:v>https://obitsu.co.jp/doll-division/obitsu-body-and-parts/obitsu-body/obitsu-body-ver1-5-ggr50/</x:v>
      </x:c>
    </x:row>
    <x:row r="265" ht="110" customHeight="1">
      <x:c r="A265" s="11" t="str">
        <x:v>PICCODO · CHUBBY BODY</x:v>
      </x:c>
      <x:c r="B265" s="11" t="str">
        <x:v>PICCODO</x:v>
      </x:c>
      <x:c r="C265" s="12" t="str">
        <x:v>关节可动</x:v>
      </x:c>
      <x:c r="D265" s="13" t="str">
        <x:v>素体成品、头部另配</x:v>
      </x:c>
      <x:c r="E265" s="20" t="str">
        <x:v>未披露</x:v>
      </x:c>
      <x:c r="F265" s="21" t="n">
        <x:v>91</x:v>
      </x:c>
      <x:c r="G265" s="16" t="str">
        <x:v>官方本款素体规格（头部另配）；是否计入头部连接件未单独说明</x:v>
      </x:c>
      <x:c r="H265" s="17" t="str">
        <x:v>服装另配</x:v>
      </x:c>
      <x:c r="I265" s="18" t="str">
        <x:v>PVC、POM、磁铁</x:v>
      </x:c>
      <x:c r="J265" s="19" t="str">
        <x:v>素体</x:v>
      </x:c>
      <x:c r="K265" s="11" t="str">
        <x:v>PICCODO CHUBBY BODY</x:v>
      </x:c>
      <x:c r="L265" s="11" t="str">
        <x:v>未单独核对</x:v>
      </x:c>
      <x:c r="M265" s="11" t="str">
        <x:v>未披露</x:v>
      </x:c>
      <x:c r="N265" s="11" t="str">
        <x:v>单独出售的素体；头、衣服、肤色与改版按本款来源分别核对。</x:v>
      </x:c>
      <x:c r="O265" s="11" t="str">
        <x:v>素体 9.1 cm（官方本款素体规格（头部另配）；是否计入头部连接件未单独说明）</x:v>
      </x:c>
      <x:c r="P265" s="11" t="str">
        <x:v>本款交付与尺寸：圆润体形，身体与专用台座，头部另配。
适配范围：厂家说明可动及站立性能；未给出通用头部接头尺寸，不推断所有头都可直接安装。
拆装范围：除 CUTE 明确可拆手臂与腿部外，来源没有把身体设计为整体拆解；换手与穿衣不等于可以强拆身体。</x:v>
      </x:c>
      <x:c r="Q265" s="11" t="str">
        <x:v>未取得产品对应证据</x:v>
      </x:c>
      <x:c r="R265" s="11" t="str">
        <x:v>2026-10-06</x:v>
      </x:c>
      <x:c r="S265" s="11" t="str">
        <x:v>piccodo-118319611</x:v>
      </x:c>
      <x:c r="T265" s="11" t="str">
        <x:v>https://piccodo.official.ec/items/118319611</x:v>
      </x:c>
    </x:row>
    <x:row r="266" ht="110" customHeight="1">
      <x:c r="A266" s="11" t="str">
        <x:v>PICCODO · BODY11</x:v>
      </x:c>
      <x:c r="B266" s="11" t="str">
        <x:v>PICCODO</x:v>
      </x:c>
      <x:c r="C266" s="12" t="str">
        <x:v>关节可动</x:v>
      </x:c>
      <x:c r="D266" s="13" t="str">
        <x:v>素体成品、头部另配</x:v>
      </x:c>
      <x:c r="E266" s="20" t="str">
        <x:v>未披露</x:v>
      </x:c>
      <x:c r="F266" s="21" t="n">
        <x:v>113</x:v>
      </x:c>
      <x:c r="G266" s="16" t="str">
        <x:v>官方本款素体规格（头部另配）；是否计入头部连接件未单独说明</x:v>
      </x:c>
      <x:c r="H266" s="17" t="str">
        <x:v>服装另配、换手</x:v>
      </x:c>
      <x:c r="I266" s="18" t="str">
        <x:v>PVC、POM、磁铁</x:v>
      </x:c>
      <x:c r="J266" s="19" t="str">
        <x:v>素体</x:v>
      </x:c>
      <x:c r="K266" s="11" t="str">
        <x:v>PICCODO BODY11</x:v>
      </x:c>
      <x:c r="L266" s="11" t="str">
        <x:v>未单独核对</x:v>
      </x:c>
      <x:c r="M266" s="11" t="str">
        <x:v>未披露</x:v>
      </x:c>
      <x:c r="N266" s="11" t="str">
        <x:v>单独出售的素体；头、衣服、肤色与改版按本款来源分别核对。</x:v>
      </x:c>
      <x:c r="O266" s="11" t="str">
        <x:v>素体 11.3 cm（官方本款素体规格（头部另配）；是否计入头部连接件未单独说明）</x:v>
      </x:c>
      <x:c r="P266" s="11" t="str">
        <x:v>本款交付与尺寸：身体与专用台座，头部另配。
适配范围：官方说明兼容 PICCODO 系列换手套装；具体身体跨品牌接口未公开。
拆装范围：除 CUTE 明确可拆手臂与腿部外，来源没有把身体设计为整体拆解；换手与穿衣不等于可以强拆身体。</x:v>
      </x:c>
      <x:c r="Q266" s="11" t="str">
        <x:v>未取得产品对应证据</x:v>
      </x:c>
      <x:c r="R266" s="11" t="str">
        <x:v>2026-10-06</x:v>
      </x:c>
      <x:c r="S266" s="11" t="str">
        <x:v>piccodo-115850461</x:v>
      </x:c>
      <x:c r="T266" s="11" t="str">
        <x:v>https://piccodo.official.ec/items/115850461</x:v>
      </x:c>
    </x:row>
    <x:row r="267" ht="110" customHeight="1">
      <x:c r="A267" s="11" t="str">
        <x:v>PICCODO · BODY10 Ver.2.0</x:v>
      </x:c>
      <x:c r="B267" s="11" t="str">
        <x:v>PICCODO</x:v>
      </x:c>
      <x:c r="C267" s="12" t="str">
        <x:v>关节可动</x:v>
      </x:c>
      <x:c r="D267" s="13" t="str">
        <x:v>素体成品、头部另配</x:v>
      </x:c>
      <x:c r="E267" s="20" t="str">
        <x:v>未披露</x:v>
      </x:c>
      <x:c r="F267" s="21" t="n">
        <x:v>105</x:v>
      </x:c>
      <x:c r="G267" s="16" t="str">
        <x:v>官方本款素体规格（头部另配）；是否计入头部连接件未单独说明</x:v>
      </x:c>
      <x:c r="H267" s="17" t="str">
        <x:v>服装另配、换手</x:v>
      </x:c>
      <x:c r="I267" s="18" t="str">
        <x:v>PVC、POM</x:v>
      </x:c>
      <x:c r="J267" s="19" t="str">
        <x:v>素体</x:v>
      </x:c>
      <x:c r="K267" s="11" t="str">
        <x:v>PICCODO BODY10 Ver.2.0</x:v>
      </x:c>
      <x:c r="L267" s="11" t="str">
        <x:v>未单独核对</x:v>
      </x:c>
      <x:c r="M267" s="11" t="str">
        <x:v>未披露</x:v>
      </x:c>
      <x:c r="N267" s="11" t="str">
        <x:v>单独出售的素体；头、衣服、肤色与改版按本款来源分别核对。</x:v>
      </x:c>
      <x:c r="O267" s="11" t="str">
        <x:v>素体 10.5 cm（官方本款素体规格（头部另配）；是否计入头部连接件未单独说明）</x:v>
      </x:c>
      <x:c r="P267" s="11" t="str">
        <x:v>本款交付与尺寸：身体与金属板；尺寸 H105 × W45 × D20 mm。
适配范围：2.0 调整细节；兼容旧 BODY9 / BODY10 换手套装，其他身体不据此推定兼容。
拆装范围：除 CUTE 明确可拆手臂与腿部外，来源没有把身体设计为整体拆解；换手与穿衣不等于可以强拆身体。</x:v>
      </x:c>
      <x:c r="Q267" s="11" t="str">
        <x:v>未取得产品对应证据</x:v>
      </x:c>
      <x:c r="R267" s="11" t="str">
        <x:v>2026-10-06</x:v>
      </x:c>
      <x:c r="S267" s="11" t="str">
        <x:v>piccodo-76733551</x:v>
      </x:c>
      <x:c r="T267" s="11" t="str">
        <x:v>https://piccodo.official.ec/items/76733551</x:v>
      </x:c>
    </x:row>
    <x:row r="268" ht="110" customHeight="1">
      <x:c r="A268" s="11" t="str">
        <x:v>PICCODO · BODY9 Ver.2.0</x:v>
      </x:c>
      <x:c r="B268" s="11" t="str">
        <x:v>PICCODO</x:v>
      </x:c>
      <x:c r="C268" s="12" t="str">
        <x:v>关节可动</x:v>
      </x:c>
      <x:c r="D268" s="13" t="str">
        <x:v>素体成品、头部另配</x:v>
      </x:c>
      <x:c r="E268" s="20" t="str">
        <x:v>未披露</x:v>
      </x:c>
      <x:c r="F268" s="21" t="n">
        <x:v>95</x:v>
      </x:c>
      <x:c r="G268" s="16" t="str">
        <x:v>官方本款素体规格（头部另配）；是否计入头部连接件未单独说明</x:v>
      </x:c>
      <x:c r="H268" s="17" t="str">
        <x:v>服装另配、换手</x:v>
      </x:c>
      <x:c r="I268" s="18" t="str">
        <x:v>PVC、POM</x:v>
      </x:c>
      <x:c r="J268" s="19" t="str">
        <x:v>素体</x:v>
      </x:c>
      <x:c r="K268" s="11" t="str">
        <x:v>PICCODO BODY9 Ver.2.0</x:v>
      </x:c>
      <x:c r="L268" s="11" t="str">
        <x:v>未单独核对</x:v>
      </x:c>
      <x:c r="M268" s="11" t="str">
        <x:v>未披露</x:v>
      </x:c>
      <x:c r="N268" s="11" t="str">
        <x:v>单独出售的素体；头、衣服、肤色与改版按本款来源分别核对。</x:v>
      </x:c>
      <x:c r="O268" s="11" t="str">
        <x:v>素体 9.5 cm（官方本款素体规格（头部另配）；是否计入头部连接件未单独说明）</x:v>
      </x:c>
      <x:c r="P268" s="11" t="str">
        <x:v>本款交付与尺寸：身体与金属板；尺寸 H95 × W45 × D20 mm。
适配范围：2.0 调整细节；兼容旧 BODY9 / BODY10 换手套装，肤色选项集中在一个型号页。
拆装范围：除 CUTE 明确可拆手臂与腿部外，来源没有把身体设计为整体拆解；换手与穿衣不等于可以强拆身体。</x:v>
      </x:c>
      <x:c r="Q268" s="11" t="str">
        <x:v>未取得产品对应证据</x:v>
      </x:c>
      <x:c r="R268" s="11" t="str">
        <x:v>2026-10-06</x:v>
      </x:c>
      <x:c r="S268" s="11" t="str">
        <x:v>piccodo-76732953</x:v>
      </x:c>
      <x:c r="T268" s="11" t="str">
        <x:v>https://piccodo.official.ec/items/76732953</x:v>
      </x:c>
    </x:row>
    <x:row r="269" ht="110" customHeight="1">
      <x:c r="A269" s="11" t="str">
        <x:v>PICCODO · CUTE BODY10</x:v>
      </x:c>
      <x:c r="B269" s="11" t="str">
        <x:v>PICCODO</x:v>
      </x:c>
      <x:c r="C269" s="12" t="str">
        <x:v>展示型结构</x:v>
      </x:c>
      <x:c r="D269" s="13" t="str">
        <x:v>素体成品、头部另配</x:v>
      </x:c>
      <x:c r="E269" s="20" t="str">
        <x:v>未披露</x:v>
      </x:c>
      <x:c r="F269" s="21" t="n">
        <x:v>109</x:v>
      </x:c>
      <x:c r="G269" s="16" t="str">
        <x:v>官方本款素体规格（头部另配）；是否计入头部连接件未单独说明</x:v>
      </x:c>
      <x:c r="H269" s="17" t="str">
        <x:v>服装另配</x:v>
      </x:c>
      <x:c r="I269" s="18" t="str">
        <x:v>PVC</x:v>
      </x:c>
      <x:c r="J269" s="19" t="str">
        <x:v>素体</x:v>
      </x:c>
      <x:c r="K269" s="11" t="str">
        <x:v>PICCODO CUTE BODY10</x:v>
      </x:c>
      <x:c r="L269" s="11" t="str">
        <x:v>未单独核对</x:v>
      </x:c>
      <x:c r="M269" s="11" t="str">
        <x:v>未披露</x:v>
      </x:c>
      <x:c r="N269" s="11" t="str">
        <x:v>单独出售的素体；头、衣服、肤色与改版按本款来源分别核对。</x:v>
      </x:c>
      <x:c r="O269" s="11" t="str">
        <x:v>素体 10.9 cm（官方本款素体规格（头部另配）；是否计入头部连接件未单独说明）</x:v>
      </x:c>
      <x:c r="P269" s="11" t="str">
        <x:v>本款交付与尺寸：展示用简化身体与金属板，手臂和双腿可拆，方便穿衣。
适配范围：官方说明大幅省略可动功能；不与普通 BODY10 的可动结构或配件范围混用。
拆装范围：只保留官方明确的手臂、腿部拆装范围。</x:v>
      </x:c>
      <x:c r="Q269" s="11" t="str">
        <x:v>未取得产品对应证据</x:v>
      </x:c>
      <x:c r="R269" s="11" t="str">
        <x:v>2026-10-06</x:v>
      </x:c>
      <x:c r="S269" s="11" t="str">
        <x:v>piccodo-72696060</x:v>
      </x:c>
      <x:c r="T269" s="11" t="str">
        <x:v>https://piccodo.official.ec/items/72696060</x:v>
      </x:c>
    </x:row>
    <x:row r="270" ht="110" customHeight="1">
      <x:c r="A270" s="11" t="str">
        <x:v>PICCODO · BODY20</x:v>
      </x:c>
      <x:c r="B270" s="11" t="str">
        <x:v>PICCODO</x:v>
      </x:c>
      <x:c r="C270" s="12" t="str">
        <x:v>关节可动</x:v>
      </x:c>
      <x:c r="D270" s="13" t="str">
        <x:v>素体成品、头部另配</x:v>
      </x:c>
      <x:c r="E270" s="20" t="str">
        <x:v>未披露</x:v>
      </x:c>
      <x:c r="F270" s="21" t="n">
        <x:v>212</x:v>
      </x:c>
      <x:c r="G270" s="16" t="str">
        <x:v>官方本款素体规格（头部另配）；是否计入头部连接件未单独说明</x:v>
      </x:c>
      <x:c r="H270" s="17" t="str">
        <x:v>服装另配</x:v>
      </x:c>
      <x:c r="I270" s="18" t="str">
        <x:v>PVC、POM</x:v>
      </x:c>
      <x:c r="J270" s="19" t="str">
        <x:v>素体</x:v>
      </x:c>
      <x:c r="K270" s="11" t="str">
        <x:v>PICCODO BODY20</x:v>
      </x:c>
      <x:c r="L270" s="11" t="str">
        <x:v>未单独核对</x:v>
      </x:c>
      <x:c r="M270" s="11" t="str">
        <x:v>未披露</x:v>
      </x:c>
      <x:c r="N270" s="11" t="str">
        <x:v>单独出售的素体；头、衣服、肤色与改版按本款来源分别核对。</x:v>
      </x:c>
      <x:c r="O270" s="11" t="str">
        <x:v>素体 21.2 cm（官方本款素体规格（头部另配）；是否计入头部连接件未单独说明）</x:v>
      </x:c>
      <x:c r="P270" s="11" t="str">
        <x:v>本款交付与尺寸：身体与金属板；肩宽 34 mm、胸围 90 mm、腰围 76 mm、臀围 107 mm、脚长 27.5 mm。
适配范围：BODY20 的专用手脚套装与小号系列分别核对；不能因为品牌相同就互换。
拆装范围：除 CUTE 明确可拆手臂与腿部外，来源没有把身体设计为整体拆解；换手与穿衣不等于可以强拆身体。</x:v>
      </x:c>
      <x:c r="Q270" s="11" t="str">
        <x:v>未取得产品对应证据</x:v>
      </x:c>
      <x:c r="R270" s="11" t="str">
        <x:v>2026-10-06</x:v>
      </x:c>
      <x:c r="S270" s="11" t="str">
        <x:v>piccodo-72695579</x:v>
      </x:c>
      <x:c r="T270" s="11" t="str">
        <x:v>https://piccodo.official.ec/items/72695579</x:v>
      </x:c>
    </x:row>
    <x:row r="271" ht="110" customHeight="1">
      <x:c r="A271" s="11" t="str">
        <x:v>PICCODO · BODY8 PLUS</x:v>
      </x:c>
      <x:c r="B271" s="11" t="str">
        <x:v>PICCODO</x:v>
      </x:c>
      <x:c r="C271" s="12" t="str">
        <x:v>连接待核实</x:v>
      </x:c>
      <x:c r="D271" s="13" t="str">
        <x:v>素体成品、头部另配</x:v>
      </x:c>
      <x:c r="E271" s="20" t="str">
        <x:v>未披露</x:v>
      </x:c>
      <x:c r="F271" s="21" t="n">
        <x:v>95</x:v>
      </x:c>
      <x:c r="G271" s="16" t="str">
        <x:v>官方本款素体规格（头部另配）；是否计入头部连接件未单独说明</x:v>
      </x:c>
      <x:c r="H271" s="17" t="str">
        <x:v>服装另配</x:v>
      </x:c>
      <x:c r="I271" s="18" t="str">
        <x:v>PVC、POM</x:v>
      </x:c>
      <x:c r="J271" s="19" t="str">
        <x:v>素体</x:v>
      </x:c>
      <x:c r="K271" s="11" t="str">
        <x:v>PICCODO BODY8 PLUS</x:v>
      </x:c>
      <x:c r="L271" s="11" t="str">
        <x:v>未单独核对</x:v>
      </x:c>
      <x:c r="M271" s="11" t="str">
        <x:v>未披露</x:v>
      </x:c>
      <x:c r="N271" s="11" t="str">
        <x:v>单独出售的素体；头、衣服、肤色与改版按本款来源分别核对。</x:v>
      </x:c>
      <x:c r="O271" s="11" t="str">
        <x:v>素体 9.5 cm（官方本款素体规格（头部另配）；是否计入头部连接件未单独说明）</x:v>
      </x:c>
      <x:c r="P271" s="11" t="str">
        <x:v>本款交付与尺寸：身体与金属板；尺寸 H95 × W40 × D12 mm。
适配范围：本次商品页文字未列可动范围及换手接口，保留待核实；不把 BODY9 的围度、手件与功能套用过来。
拆装范围：除 CUTE 明确可拆手臂与腿部外，来源没有把身体设计为整体拆解；换手与穿衣不等于可以强拆身体。</x:v>
      </x:c>
      <x:c r="Q271" s="11" t="str">
        <x:v>未取得产品对应证据</x:v>
      </x:c>
      <x:c r="R271" s="11" t="str">
        <x:v>2026-10-06</x:v>
      </x:c>
      <x:c r="S271" s="11" t="str">
        <x:v>piccodo-72138227</x:v>
      </x:c>
      <x:c r="T271" s="11" t="str">
        <x:v>https://piccodo.official.ec/items/72138227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8e918426ff7472b"/>
  </x:tableParts>
</x:worksheet>
</file>

<file path=xl/worksheets/sheet2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20" hidden="0" customWidth="1"/>
    <x:col min="4" max="4" width="45" hidden="0" customWidth="1"/>
    <x:col min="5" max="5" width="75" hidden="0" customWidth="1"/>
    <x:col min="6" max="6" width="85" hidden="0" customWidth="1"/>
    <x:col min="7" max="7" width="16" hidden="0" customWidth="1"/>
    <x:col min="8" max="8" width="37" hidden="0" customWidth="1"/>
  </x:cols>
  <x:sheetData>
    <x:row r="1" ht="38" customHeight="1">
      <x:c r="A1" s="3" t="str">
        <x:v>人形玩具比照 · 型号来源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一行一个来源，与产品资料通过内部 ID 对应。系列背景、经销商信息与具体型号页分别标注，不混用事实范围。</x:v>
      </x:c>
      <x:c r="B2" s="6"/>
      <x:c r="C2" s="6"/>
      <x:c r="D2" s="6"/>
      <x:c r="E2" s="6"/>
      <x:c r="F2" s="6"/>
      <x:c r="G2" s="6"/>
      <x:c r="H2" s="6"/>
    </x:row>
    <x:row r="3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9" t="str">
        <x:v>产品</x:v>
      </x:c>
      <x:c r="B4" s="9" t="str">
        <x:v>顺序</x:v>
      </x:c>
      <x:c r="C4" s="9" t="str">
        <x:v>来源性质</x:v>
      </x:c>
      <x:c r="D4" s="9" t="str">
        <x:v>来源标题</x:v>
      </x:c>
      <x:c r="E4" s="9" t="str">
        <x:v>支持信息与范围</x:v>
      </x:c>
      <x:c r="F4" s="9" t="str">
        <x:v>URL</x:v>
      </x:c>
      <x:c r="G4" s="9" t="str">
        <x:v>核对日期</x:v>
      </x:c>
      <x:c r="H4" s="9" t="str">
        <x:v>内部 ID</x:v>
      </x:c>
    </x:row>
    <x:row r="5" ht="72" customHeight="1">
      <x:c r="A5" s="11" t="str">
        <x:v>SD 玛琪</x:v>
      </x:c>
      <x:c r="B5" s="11" t="str">
        <x:v>主来源</x:v>
      </x:c>
      <x:c r="C5" s="11" t="str">
        <x:v>官方产品页</x:v>
      </x:c>
      <x:c r="D5" s="11" t="str">
        <x:v>VOLKS：SD 女孩 Maki 商品入口</x:v>
      </x:c>
      <x:c r="E5" s="11" t="str">
        <x:v>本款对应商品入口；本次自动读取受限，具体事实由下列官方型号段落核对。</x:v>
      </x:c>
      <x:c r="F5" s="11" t="str">
        <x:v>https://dollfie.ec.volks.co.jp/item/4518992453491.html</x:v>
      </x:c>
      <x:c r="G5" s="11" t="str">
        <x:v>2026-10-05</x:v>
      </x:c>
      <x:c r="H5" s="11" t="str">
        <x:v>volks-sd-maki</x:v>
      </x:c>
    </x:row>
    <x:row r="6" ht="72" customHeight="1">
      <x:c r="A6" s="11" t="str">
        <x:v>SD 玛琪</x:v>
      </x:c>
      <x:c r="B6" s="11" t="str">
        <x:v>补充来源</x:v>
      </x:c>
      <x:c r="C6" s="11" t="str">
        <x:v>官方型号段落</x:v>
      </x:c>
      <x:c r="D6" s="11" t="str">
        <x:v>VOLKS：Maki 标准款介绍</x:v>
      </x:c>
      <x:c r="E6" s="11" t="str">
        <x:v>Maki 对应段落、眼睛、身体、服装与 SD 女孩全高</x:v>
      </x:c>
      <x:c r="F6" s="11" t="str">
        <x:v>https://dollfie.volks.co.jp/sd/model/standard/#sd2025-maki</x:v>
      </x:c>
      <x:c r="G6" s="11" t="str">
        <x:v>2026-10-05</x:v>
      </x:c>
      <x:c r="H6" s="11" t="str">
        <x:v>volks-sd-maki</x:v>
      </x:c>
    </x:row>
    <x:row r="7" ht="72" customHeight="1">
      <x:c r="A7" s="11" t="str">
        <x:v>SD 玛琪</x:v>
      </x:c>
      <x:c r="B7" s="11" t="str">
        <x:v>补充来源</x:v>
      </x:c>
      <x:c r="C7" s="11" t="str">
        <x:v>官方结构说明</x:v>
      </x:c>
      <x:c r="D7" s="11" t="str">
        <x:v>VOLKS：SD 与 DD 的结构、材料说明</x:v>
      </x:c>
      <x:c r="E7" s="11" t="str">
        <x:v>补充 SD 系列的拉筋／球体结构与聚氨酯树脂；不替代具体型号规格。</x:v>
      </x:c>
      <x:c r="F7" s="11" t="str">
        <x:v>https://dollfie.volks.co.jp/beginner/</x:v>
      </x:c>
      <x:c r="G7" s="11" t="str">
        <x:v>2026-10-05</x:v>
      </x:c>
      <x:c r="H7" s="11" t="str">
        <x:v>volks-sd-maki</x:v>
      </x:c>
    </x:row>
    <x:row r="8" ht="72" customHeight="1">
      <x:c r="A8" s="11" t="str">
        <x:v>Mirai · Cinnamon</x:v>
      </x:c>
      <x:c r="B8" s="11" t="str">
        <x:v>主来源</x:v>
      </x:c>
      <x:c r="C8" s="11" t="str">
        <x:v>官方产品页</x:v>
      </x:c>
      <x:c r="D8" s="11" t="str">
        <x:v>Smart Doll：Mirai Cinnamon</x:v>
      </x:c>
      <x:c r="E8" s="11" t="str">
        <x:v>选项、内部 Evolve 骨架、附属物及照片服装例外</x:v>
      </x:c>
      <x:c r="F8" s="11" t="str">
        <x:v>https://shop.smartdoll.jp/collections/fashion-doll/products/smart-doll-mirai-cinnamon</x:v>
      </x:c>
      <x:c r="G8" s="11" t="str">
        <x:v>2026-10-05</x:v>
      </x:c>
      <x:c r="H8" s="11" t="str">
        <x:v>smartdoll-mirai-cinnamon</x:v>
      </x:c>
    </x:row>
    <x:row r="9" ht="72" customHeight="1">
      <x:c r="A9" s="11" t="str">
        <x:v>Mirai · Cinnamon</x:v>
      </x:c>
      <x:c r="B9" s="11" t="str">
        <x:v>补充来源</x:v>
      </x:c>
      <x:c r="C9" s="11" t="str">
        <x:v>官方背景说明</x:v>
      </x:c>
      <x:c r="D9" s="11" t="str">
        <x:v>Smart Doll：品牌介绍</x:v>
      </x:c>
      <x:c r="E9" s="11" t="str">
        <x:v>系列背景称 60 cm，不用于本条的型号高度。</x:v>
      </x:c>
      <x:c r="F9" s="11" t="str">
        <x:v>https://shop.smartdoll.jp/products/what-is-smart-doll</x:v>
      </x:c>
      <x:c r="G9" s="11" t="str">
        <x:v>2026-10-05</x:v>
      </x:c>
      <x:c r="H9" s="11" t="str">
        <x:v>smartdoll-mirai-cinnamon</x:v>
      </x:c>
    </x:row>
    <x:row r="10" ht="72" customHeight="1">
      <x:c r="A10" s="11" t="str">
        <x:v>小阿什莉 · 唱诗班</x:v>
      </x:c>
      <x:c r="B10" s="11" t="str">
        <x:v>主来源</x:v>
      </x:c>
      <x:c r="C10" s="11" t="str">
        <x:v>经销商专页</x:v>
      </x:c>
      <x:c r="D10" s="11" t="str">
        <x:v>La Peonier：Little Ashley 唱诗班全套</x:v>
      </x:c>
      <x:c r="E10" s="11" t="str">
        <x:v>该款比例、全高／body 高度、PVC 与 ABS、头眼规格及附件</x:v>
      </x:c>
      <x:c r="F10" s="11" t="str">
        <x:v>https://www.lapeonier.com/post/2023122901</x:v>
      </x:c>
      <x:c r="G10" s="11" t="str">
        <x:v>2026-10-05</x:v>
      </x:c>
      <x:c r="H10" s="11" t="str">
        <x:v>tinyfox-little-ashley</x:v>
      </x:c>
    </x:row>
    <x:row r="11" ht="72" customHeight="1">
      <x:c r="A11" s="11" t="str">
        <x:v>OBITSU 11 cm 素体</x:v>
      </x:c>
      <x:c r="B11" s="11" t="str">
        <x:v>主来源</x:v>
      </x:c>
      <x:c r="C11" s="11" t="str">
        <x:v>官方产品页</x:v>
      </x:c>
      <x:c r="D11" s="11" t="str">
        <x:v>11BD-D01MN / ナチュラル・マットスキン</x:v>
      </x:c>
      <x:c r="E11" s="11" t="str">
        <x:v>型号、交付形态与商品规格</x:v>
      </x:c>
      <x:c r="F11" s="11" t="str">
        <x:v>https://obitsu.co.jp/doll-division/obitsu-body-and-parts/obitsu-body/obitsu-body-11/</x:v>
      </x:c>
      <x:c r="G11" s="11" t="str">
        <x:v>2026-10-05</x:v>
      </x:c>
      <x:c r="H11" s="11" t="str">
        <x:v>obitsu-11-matte</x:v>
      </x:c>
    </x:row>
    <x:row r="12" ht="72" customHeight="1">
      <x:c r="A12" s="11" t="str">
        <x:v>Yuki · 机能布衣</x:v>
      </x:c>
      <x:c r="B12" s="11" t="str">
        <x:v>主来源</x:v>
      </x:c>
      <x:c r="C12" s="11" t="str">
        <x:v>官方产品页</x:v>
      </x:c>
      <x:c r="D12" s="11" t="str">
        <x:v>figma Styles Female Body (Yuki) with Techwear Outfit</x:v>
      </x:c>
      <x:c r="E12" s="11" t="str">
        <x:v>型号、交付形态与商品规格</x:v>
      </x:c>
      <x:c r="F12" s="11" t="str">
        <x:v>https://www.goodsmile.com/en/product/8855/figma%2BFemale%2BBody%2BYuki%2Bwith%2BTechwear%2BOutfit</x:v>
      </x:c>
      <x:c r="G12" s="11" t="str">
        <x:v>2026-10-05</x:v>
      </x:c>
      <x:c r="H12" s="11" t="str">
        <x:v>figma-yuki-techwear</x:v>
      </x:c>
    </x:row>
    <x:row r="13" ht="72" customHeight="1">
      <x:c r="A13" s="11" t="str">
        <x:v>DRESS UP BODY · L</x:v>
      </x:c>
      <x:c r="B13" s="11" t="str">
        <x:v>主来源</x:v>
      </x:c>
      <x:c r="C13" s="11" t="str">
        <x:v>官方产品页</x:v>
      </x:c>
      <x:c r="D13" s="11" t="str">
        <x:v>DRESS UP BODY [L] / JK019</x:v>
      </x:c>
      <x:c r="E13" s="11" t="str">
        <x:v>型号、交付形态与商品规格</x:v>
      </x:c>
      <x:c r="F13" s="11" t="str">
        <x:v>https://www.kotobukiya.co.jp/en/product/detail/p4934054031894/</x:v>
      </x:c>
      <x:c r="G13" s="11" t="str">
        <x:v>2026-10-05</x:v>
      </x:c>
      <x:c r="H13" s="11" t="str">
        <x:v>sousai-dress-up-l</x:v>
      </x:c>
    </x:row>
    <x:row r="14" ht="72" customHeight="1">
      <x:c r="A14" s="11" t="str">
        <x:v>幼 SD 里穗</x:v>
      </x:c>
      <x:c r="B14" s="11" t="str">
        <x:v>主来源</x:v>
      </x:c>
      <x:c r="C14" s="11" t="str">
        <x:v>官方产品页</x:v>
      </x:c>
      <x:c r="D14" s="11" t="str">
        <x:v>VOLKS：幼 SD Riho / Riko 2026 专题</x:v>
      </x:c>
      <x:c r="E14" s="11" t="str">
        <x:v>Riho 对应规格、衣装另售与发布／展示信息</x:v>
      </x:c>
      <x:c r="F14" s="11" t="str">
        <x:v>https://dollfie.volks.co.jp/sd/special/yosd/sp2607.html</x:v>
      </x:c>
      <x:c r="G14" s="11" t="str">
        <x:v>2026-10-05</x:v>
      </x:c>
      <x:c r="H14" s="11" t="str">
        <x:v>volks-yosd-riho</x:v>
      </x:c>
    </x:row>
    <x:row r="15" ht="72" customHeight="1">
      <x:c r="A15" s="11" t="str">
        <x:v>幼 SD 里穗</x:v>
      </x:c>
      <x:c r="B15" s="11" t="str">
        <x:v>补充来源</x:v>
      </x:c>
      <x:c r="C15" s="11" t="str">
        <x:v>官方结构说明</x:v>
      </x:c>
      <x:c r="D15" s="11" t="str">
        <x:v>VOLKS：SD 与 DD 的结构、材料说明</x:v>
      </x:c>
      <x:c r="E15" s="11" t="str">
        <x:v>补充 SD 系列的拉筋／球体结构与聚氨酯树脂；不替代具体型号规格。</x:v>
      </x:c>
      <x:c r="F15" s="11" t="str">
        <x:v>https://dollfie.volks.co.jp/beginner/</x:v>
      </x:c>
      <x:c r="G15" s="11" t="str">
        <x:v>2026-10-05</x:v>
      </x:c>
      <x:c r="H15" s="11" t="str">
        <x:v>volks-yosd-riho</x:v>
      </x:c>
    </x:row>
    <x:row r="16" ht="72" customHeight="1">
      <x:c r="A16" s="11" t="str">
        <x:v>DDS 镜音铃 · 原版</x:v>
      </x:c>
      <x:c r="B16" s="11" t="str">
        <x:v>主来源</x:v>
      </x:c>
      <x:c r="C16" s="11" t="str">
        <x:v>官方产品页</x:v>
      </x:c>
      <x:c r="D16" s="11" t="str">
        <x:v>VOLKS：DDS 镜音铃原版</x:v>
      </x:c>
      <x:c r="E16" s="11" t="str">
        <x:v>原版身体、服装、假发、眼睛及软质外皮</x:v>
      </x:c>
      <x:c r="F16" s="11" t="str">
        <x:v>https://dollfie.volks.co.jp/dd/special/piapro/product/dds_rin.html</x:v>
      </x:c>
      <x:c r="G16" s="11" t="str">
        <x:v>2026-10-05</x:v>
      </x:c>
      <x:c r="H16" s="11" t="str">
        <x:v>volks-dds-rin-original</x:v>
      </x:c>
    </x:row>
    <x:row r="17" ht="72" customHeight="1">
      <x:c r="A17" s="11" t="str">
        <x:v>DDS 镜音铃 · 原版</x:v>
      </x:c>
      <x:c r="B17" s="11" t="str">
        <x:v>补充来源</x:v>
      </x:c>
      <x:c r="C17" s="11" t="str">
        <x:v>官方系列说明</x:v>
      </x:c>
      <x:c r="D17" s="11" t="str">
        <x:v>VOLKS：DD 系列结构介绍</x:v>
      </x:c>
      <x:c r="E17" s="11" t="str">
        <x:v>补充 DD 系列的内部骨架构造；具体旧版骨架代际待核实，不套用现行尺寸。</x:v>
      </x:c>
      <x:c r="F17" s="11" t="str">
        <x:v>https://dollfie.volks.co.jp/beginner/</x:v>
      </x:c>
      <x:c r="G17" s="11" t="str">
        <x:v>2026-10-05</x:v>
      </x:c>
      <x:c r="H17" s="11" t="str">
        <x:v>volks-dds-rin-original</x:v>
      </x:c>
    </x:row>
    <x:row r="18" ht="72" customHeight="1">
      <x:c r="A18" s="11" t="str">
        <x:v>DDS 兰卡·李</x:v>
      </x:c>
      <x:c r="B18" s="11" t="str">
        <x:v>主来源</x:v>
      </x:c>
      <x:c r="C18" s="11" t="str">
        <x:v>官方产品页</x:v>
      </x:c>
      <x:c r="D18" s="11" t="str">
        <x:v>VOLKS：DDS Ranka Lee 中文专页</x:v>
      </x:c>
      <x:c r="E18" s="11" t="str">
        <x:v>本体、两款假发、服装、材料与会场发售</x:v>
      </x:c>
      <x:c r="F18" s="11" t="str">
        <x:v>https://www.volks.co.jp/macrossf/cn/dds_ranka/</x:v>
      </x:c>
      <x:c r="G18" s="11" t="str">
        <x:v>2026-10-05</x:v>
      </x:c>
      <x:c r="H18" s="11" t="str">
        <x:v>volks-dds-ranka</x:v>
      </x:c>
    </x:row>
    <x:row r="19" ht="72" customHeight="1">
      <x:c r="A19" s="11" t="str">
        <x:v>DDS 兰卡·李</x:v>
      </x:c>
      <x:c r="B19" s="11" t="str">
        <x:v>补充来源</x:v>
      </x:c>
      <x:c r="C19" s="11" t="str">
        <x:v>官方系列说明</x:v>
      </x:c>
      <x:c r="D19" s="11" t="str">
        <x:v>VOLKS：DD 系列结构介绍</x:v>
      </x:c>
      <x:c r="E19" s="11" t="str">
        <x:v>补充 DD 系列的内部骨架构造；具体旧版骨架代际待核实，不套用现行尺寸。</x:v>
      </x:c>
      <x:c r="F19" s="11" t="str">
        <x:v>https://dollfie.volks.co.jp/beginner/</x:v>
      </x:c>
      <x:c r="G19" s="11" t="str">
        <x:v>2026-10-05</x:v>
      </x:c>
      <x:c r="H19" s="11" t="str">
        <x:v>volks-dds-ranka</x:v>
      </x:c>
    </x:row>
    <x:row r="20" ht="72" customHeight="1">
      <x:c r="A20" s="11" t="str">
        <x:v>MIA BLUE · 全套</x:v>
      </x:c>
      <x:c r="B20" s="11" t="str">
        <x:v>主来源</x:v>
      </x:c>
      <x:c r="C20" s="11" t="str">
        <x:v>官方产品页</x:v>
      </x:c>
      <x:c r="D20" s="11" t="str">
        <x:v>DollZone MIA BLUE — Full Set</x:v>
      </x:c>
      <x:c r="E20" s="11" t="str">
        <x:v>型号、交付形态与商品规格</x:v>
      </x:c>
      <x:c r="F20" s="11" t="str">
        <x:v>https://doll-zone.com/products/pre-saledollzone-mia-mia-blue-1-6-doll-full-set-nude-doll-head-presale-sd-doll-spherical-joint-dolls</x:v>
      </x:c>
      <x:c r="G20" s="11" t="str">
        <x:v>2026-10-05</x:v>
      </x:c>
      <x:c r="H20" s="11" t="str">
        <x:v>dollzone-mia-full</x:v>
      </x:c>
    </x:row>
    <x:row r="21" ht="72" customHeight="1">
      <x:c r="A21" s="11" t="str">
        <x:v>Koron · Snotty Cat IV</x:v>
      </x:c>
      <x:c r="B21" s="11" t="str">
        <x:v>主来源</x:v>
      </x:c>
      <x:c r="C21" s="11" t="str">
        <x:v>官方型号介绍</x:v>
      </x:c>
      <x:c r="D21" s="11" t="str">
        <x:v>AZONE：Koron Snotty Cat IV ver.1.1 发布介绍</x:v>
      </x:c>
      <x:c r="E21" s="11" t="str">
        <x:v>对应身体型号、肤色与套装内容</x:v>
      </x:c>
      <x:c r="F21" s="11" t="str">
        <x:v>https://news.azone-int.co.jp/archives/22175</x:v>
      </x:c>
      <x:c r="G21" s="11" t="str">
        <x:v>2026-10-05</x:v>
      </x:c>
      <x:c r="H21" s="11" t="str">
        <x:v>azone-koron-snotty</x:v>
      </x:c>
    </x:row>
    <x:row r="22" ht="72" customHeight="1">
      <x:c r="A22" s="11" t="str">
        <x:v>Fresh ruruko 2105</x:v>
      </x:c>
      <x:c r="B22" s="11" t="str">
        <x:v>主来源</x:v>
      </x:c>
      <x:c r="C22" s="11" t="str">
        <x:v>官方产品页</x:v>
      </x:c>
      <x:c r="D22" s="11" t="str">
        <x:v>Fresh ruruko 2105</x:v>
      </x:c>
      <x:c r="E22" s="11" t="str">
        <x:v>型号、交付形态与商品规格</x:v>
      </x:c>
      <x:c r="F22" s="11" t="str">
        <x:v>https://www.petworks.co.jp/doll/ruruko/4411/</x:v>
      </x:c>
      <x:c r="G22" s="11" t="str">
        <x:v>2026-10-05</x:v>
      </x:c>
      <x:c r="H22" s="11" t="str">
        <x:v>petworks-ruruko-2105</x:v>
      </x:c>
    </x:row>
    <x:row r="23" ht="72" customHeight="1">
      <x:c r="A23" s="11" t="str">
        <x:v>芭比 · 可动网球员</x:v>
      </x:c>
      <x:c r="B23" s="11" t="str">
        <x:v>主来源</x:v>
      </x:c>
      <x:c r="C23" s="11" t="str">
        <x:v>官方产品页</x:v>
      </x:c>
      <x:c r="D23" s="11" t="str">
        <x:v>Barbie Made to Move Tennis Player / HKT73</x:v>
      </x:c>
      <x:c r="E23" s="11" t="str">
        <x:v>型号、交付形态与商品规格</x:v>
      </x:c>
      <x:c r="F23" s="11" t="str">
        <x:v>https://shop.mattel.com/products/barbie-made-to-move-tennis-player-doll-hkt73</x:v>
      </x:c>
      <x:c r="G23" s="11" t="str">
        <x:v>2026-10-05</x:v>
      </x:c>
      <x:c r="H23" s="11" t="str">
        <x:v>barbie-tennis-hkt73</x:v>
      </x:c>
    </x:row>
    <x:row r="24" ht="72" customHeight="1">
      <x:c r="A24" s="11" t="str">
        <x:v>OBITSU 22 cm · S 胸</x:v>
      </x:c>
      <x:c r="B24" s="11" t="str">
        <x:v>主来源</x:v>
      </x:c>
      <x:c r="C24" s="11" t="str">
        <x:v>官方产品页</x:v>
      </x:c>
      <x:c r="D24" s="11" t="str">
        <x:v>22BD-F01N-S / ナチュラル</x:v>
      </x:c>
      <x:c r="E24" s="11" t="str">
        <x:v>型号、交付形态与商品规格</x:v>
      </x:c>
      <x:c r="F24" s="11" t="str">
        <x:v>https://obitsu.co.jp/doll-division/obitsu-body-and-parts/obitsu-body/obitsu-body-22/</x:v>
      </x:c>
      <x:c r="G24" s="11" t="str">
        <x:v>2026-10-05</x:v>
      </x:c>
      <x:c r="H24" s="11" t="str">
        <x:v>obitsu-22-s</x:v>
      </x:c>
    </x:row>
    <x:row r="25" ht="72" customHeight="1">
      <x:c r="A25" s="11" t="str">
        <x:v>OBITSU 24 cm · S 胸</x:v>
      </x:c>
      <x:c r="B25" s="11" t="str">
        <x:v>主来源</x:v>
      </x:c>
      <x:c r="C25" s="11" t="str">
        <x:v>官方产品页</x:v>
      </x:c>
      <x:c r="D25" s="11" t="str">
        <x:v>24BD-F02N-S / ナチュラル・マットスキン</x:v>
      </x:c>
      <x:c r="E25" s="11" t="str">
        <x:v>型号、交付形态与商品规格</x:v>
      </x:c>
      <x:c r="F25" s="11" t="str">
        <x:v>https://obitsu.co.jp/doll-division/obitsu-body-and-parts/obitsu-body/obitsu-body-24/</x:v>
      </x:c>
      <x:c r="G25" s="11" t="str">
        <x:v>2026-10-05</x:v>
      </x:c>
      <x:c r="H25" s="11" t="str">
        <x:v>obitsu-24-s-matte</x:v>
      </x:c>
    </x:row>
    <x:row r="26" ht="72" customHeight="1">
      <x:c r="A26" s="11" t="str">
        <x:v>OBITSU 50 cm 素体</x:v>
      </x:c>
      <x:c r="B26" s="11" t="str">
        <x:v>主来源</x:v>
      </x:c>
      <x:c r="C26" s="11" t="str">
        <x:v>官方产品页</x:v>
      </x:c>
      <x:c r="D26" s="11" t="str">
        <x:v>50BD-F01W-G / ホワイティ</x:v>
      </x:c>
      <x:c r="E26" s="11" t="str">
        <x:v>型号、交付形态与商品规格</x:v>
      </x:c>
      <x:c r="F26" s="11" t="str">
        <x:v>https://obitsu.co.jp/doll-division/obitsu-body-and-parts/obitsu-body/obitsubody48-50/</x:v>
      </x:c>
      <x:c r="G26" s="11" t="str">
        <x:v>2026-10-05</x:v>
      </x:c>
      <x:c r="H26" s="11" t="str">
        <x:v>obitsu-50-white</x:v>
      </x:c>
    </x:row>
    <x:row r="27" ht="72" customHeight="1">
      <x:c r="A27" s="11" t="str">
        <x:v>黏土人偶 · 爱丽丝</x:v>
      </x:c>
      <x:c r="B27" s="11" t="str">
        <x:v>主来源</x:v>
      </x:c>
      <x:c r="C27" s="11" t="str">
        <x:v>官方产品页</x:v>
      </x:c>
      <x:c r="D27" s="11" t="str">
        <x:v>Nendoroid Doll Alice</x:v>
      </x:c>
      <x:c r="E27" s="11" t="str">
        <x:v>型号、交付形态与商品规格</x:v>
      </x:c>
      <x:c r="F27" s="11" t="str">
        <x:v>https://www.goodsmile.com/en/product/5336/Nendoroid%2BDoll%2BAlice</x:v>
      </x:c>
      <x:c r="G27" s="11" t="str">
        <x:v>2026-10-05</x:v>
      </x:c>
      <x:c r="H27" s="11" t="str">
        <x:v>nendoll-alice</x:v>
      </x:c>
    </x:row>
    <x:row r="28" ht="72" customHeight="1">
      <x:c r="A28" s="11" t="str">
        <x:v>黏土人偶 · 男孩素体</x:v>
      </x:c>
      <x:c r="B28" s="11" t="str">
        <x:v>主来源</x:v>
      </x:c>
      <x:c r="C28" s="11" t="str">
        <x:v>官方产品页</x:v>
      </x:c>
      <x:c r="D28" s="11" t="str">
        <x:v>Nendoroid Doll archetype: Boy / Almond Milk</x:v>
      </x:c>
      <x:c r="E28" s="11" t="str">
        <x:v>型号、交付形态与商品规格</x:v>
      </x:c>
      <x:c r="F28" s="11" t="str">
        <x:v>https://www.goodsmile.info/en/product/8679/Nendoroid%2BDoll%2Barchetype%2BBoy%2BAlmond%2BMilk.html</x:v>
      </x:c>
      <x:c r="G28" s="11" t="str">
        <x:v>2026-10-05</x:v>
      </x:c>
      <x:c r="H28" s="11" t="str">
        <x:v>nendoll-archetype-boy</x:v>
      </x:c>
    </x:row>
    <x:row r="29" ht="72" customHeight="1">
      <x:c r="A29" s="11" t="str">
        <x:v>Harmonia · 初音未来</x:v>
      </x:c>
      <x:c r="B29" s="11" t="str">
        <x:v>主来源</x:v>
      </x:c>
      <x:c r="C29" s="11" t="str">
        <x:v>官方产品页</x:v>
      </x:c>
      <x:c r="D29" s="11" t="str">
        <x:v>Harmonia humming Hatsune Miku</x:v>
      </x:c>
      <x:c r="E29" s="11" t="str">
        <x:v>型号、交付形态与商品规格</x:v>
      </x:c>
      <x:c r="F29" s="11" t="str">
        <x:v>https://www.goodsmile.com/en/product/9727/Harmonia%2Bhumming%2BHatsune%2BMiku</x:v>
      </x:c>
      <x:c r="G29" s="11" t="str">
        <x:v>2026-10-05</x:v>
      </x:c>
      <x:c r="H29" s="11" t="str">
        <x:v>harmonia-miku</x:v>
      </x:c>
    </x:row>
    <x:row r="30" ht="72" customHeight="1">
      <x:c r="A30" s="11" t="str">
        <x:v>初音 · 第 100 次冒险</x:v>
      </x:c>
      <x:c r="B30" s="11" t="str">
        <x:v>主来源</x:v>
      </x:c>
      <x:c r="C30" s="11" t="str">
        <x:v>官方产品页</x:v>
      </x:c>
      <x:c r="D30" s="11" t="str">
        <x:v>Nendoroid Hatsune Miku: 100th Adventure Ver.</x:v>
      </x:c>
      <x:c r="E30" s="11" t="str">
        <x:v>型号、交付形态与商品规格</x:v>
      </x:c>
      <x:c r="F30" s="11" t="str">
        <x:v>https://www.goodsmile.com/en/product/60607/Nendoroid%2BHatsune%2BMiku%2B100th%2BAdventure%2BVer.</x:v>
      </x:c>
      <x:c r="G30" s="11" t="str">
        <x:v>2026-10-05</x:v>
      </x:c>
      <x:c r="H30" s="11" t="str">
        <x:v>nendoroid-miku-adventure</x:v>
      </x:c>
    </x:row>
    <x:row r="31" ht="72" customHeight="1">
      <x:c r="A31" s="11" t="str">
        <x:v>figma 初音未来 2.0</x:v>
      </x:c>
      <x:c r="B31" s="11" t="str">
        <x:v>主来源</x:v>
      </x:c>
      <x:c r="C31" s="11" t="str">
        <x:v>官方产品页</x:v>
      </x:c>
      <x:c r="D31" s="11" t="str">
        <x:v>figma Hatsune Miku 2.0</x:v>
      </x:c>
      <x:c r="E31" s="11" t="str">
        <x:v>型号、交付形态与商品规格</x:v>
      </x:c>
      <x:c r="F31" s="11" t="str">
        <x:v>https://www.goodsmile.com/en/product/1818/figma%2BHatsune%2BMiku%2B2.0</x:v>
      </x:c>
      <x:c r="G31" s="11" t="str">
        <x:v>2026-10-05</x:v>
      </x:c>
      <x:c r="H31" s="11" t="str">
        <x:v>figma-miku-2</x:v>
      </x:c>
    </x:row>
    <x:row r="32" ht="72" customHeight="1">
      <x:c r="A32" s="11" t="str">
        <x:v>THE BATMAN · One:12</x:v>
      </x:c>
      <x:c r="B32" s="11" t="str">
        <x:v>主来源</x:v>
      </x:c>
      <x:c r="C32" s="11" t="str">
        <x:v>官方产品页</x:v>
      </x:c>
      <x:c r="D32" s="11" t="str">
        <x:v>One:12 Collective The Batman</x:v>
      </x:c>
      <x:c r="E32" s="11" t="str">
        <x:v>型号、交付形态与商品规格</x:v>
      </x:c>
      <x:c r="F32" s="11" t="str">
        <x:v>https://www.mezcotoyz.com/one-12-collective-the-batman</x:v>
      </x:c>
      <x:c r="G32" s="11" t="str">
        <x:v>2026-10-05</x:v>
      </x:c>
      <x:c r="H32" s="11" t="str">
        <x:v>mezco-the-batman</x:v>
      </x:c>
    </x:row>
    <x:row r="33" ht="72" customHeight="1">
      <x:c r="A33" s="11" t="str">
        <x:v>孙悟空 · BEST SELECTION</x:v>
      </x:c>
      <x:c r="B33" s="11" t="str">
        <x:v>主来源</x:v>
      </x:c>
      <x:c r="C33" s="11" t="str">
        <x:v>官方产品页</x:v>
      </x:c>
      <x:c r="D33" s="11" t="str">
        <x:v>TAMASHII NATIONS：悟空 BEST SELECTION</x:v>
      </x:c>
      <x:c r="E33" s="11" t="str">
        <x:v>具体版本与发货记录</x:v>
      </x:c>
      <x:c r="F33" s="11" t="str">
        <x:v>https://tamashiiweb.com/item/15303/?wovn=zh-CHS</x:v>
      </x:c>
      <x:c r="G33" s="11" t="str">
        <x:v>2026-10-05</x:v>
      </x:c>
      <x:c r="H33" s="11" t="str">
        <x:v>shf-goku-best</x:v>
      </x:c>
    </x:row>
    <x:row r="34" ht="72" customHeight="1">
      <x:c r="A34" s="11" t="str">
        <x:v>孙悟空 · BEST SELECTION</x:v>
      </x:c>
      <x:c r="B34" s="11" t="str">
        <x:v>补充来源</x:v>
      </x:c>
      <x:c r="C34" s="11" t="str">
        <x:v>官方说明书</x:v>
      </x:c>
      <x:c r="D34" s="11" t="str">
        <x:v>本件官方说明书</x:v>
      </x:c>
      <x:c r="E34" s="11" t="str">
        <x:v>对应本款的脸、手型替换与操作。</x:v>
      </x:c>
      <x:c r="F34" s="11" t="str">
        <x:v>https://tamashiiweb.com/storage/images/products/imported/item_0000015303_WcTg8Ibr_300.pdf</x:v>
      </x:c>
      <x:c r="G34" s="11" t="str">
        <x:v>2026-10-05</x:v>
      </x:c>
      <x:c r="H34" s="11" t="str">
        <x:v>shf-goku-best</x:v>
      </x:c>
    </x:row>
    <x:row r="35" ht="72" customHeight="1">
      <x:c r="A35" s="11" t="str">
        <x:v>DRESS UP BODY · S</x:v>
      </x:c>
      <x:c r="B35" s="11" t="str">
        <x:v>主来源</x:v>
      </x:c>
      <x:c r="C35" s="11" t="str">
        <x:v>官方产品页</x:v>
      </x:c>
      <x:c r="D35" s="11" t="str">
        <x:v>DRESS UP BODY [S] / JK016</x:v>
      </x:c>
      <x:c r="E35" s="11" t="str">
        <x:v>型号、交付形态与商品规格</x:v>
      </x:c>
      <x:c r="F35" s="11" t="str">
        <x:v>https://www.kotobukiya.co.jp/en/product/detail/p4934054030910/</x:v>
      </x:c>
      <x:c r="G35" s="11" t="str">
        <x:v>2026-10-05</x:v>
      </x:c>
      <x:c r="H35" s="11" t="str">
        <x:v>sousai-dress-up-s</x:v>
      </x:c>
    </x:row>
    <x:row r="36" ht="72" customHeight="1">
      <x:c r="A36" s="11" t="str">
        <x:v>朱罗忍者 · 拼装版</x:v>
      </x:c>
      <x:c r="B36" s="11" t="str">
        <x:v>主来源</x:v>
      </x:c>
      <x:c r="C36" s="11" t="str">
        <x:v>官方产品页</x:v>
      </x:c>
      <x:c r="D36" s="11" t="str">
        <x:v>MEGAMI DEVICE ASRA NINJA / KP431X</x:v>
      </x:c>
      <x:c r="E36" s="11" t="str">
        <x:v>型号、交付形态与商品规格</x:v>
      </x:c>
      <x:c r="F36" s="11" t="str">
        <x:v>https://www.kotobukiya.co.jp/en/product/detail/p4934054063208/</x:v>
      </x:c>
      <x:c r="G36" s="11" t="str">
        <x:v>2026-10-05</x:v>
      </x:c>
      <x:c r="H36" s="11" t="str">
        <x:v>megami-asra-ninja-kit</x:v>
      </x:c>
    </x:row>
    <x:row r="37" ht="72" customHeight="1">
      <x:c r="A37" s="11" t="str">
        <x:v>朱罗忍者 · 静态版</x:v>
      </x:c>
      <x:c r="B37" s="11" t="str">
        <x:v>主来源</x:v>
      </x:c>
      <x:c r="C37" s="11" t="str">
        <x:v>官方产品页</x:v>
      </x:c>
      <x:c r="D37" s="11" t="str">
        <x:v>MEGAMI DEVICE ASRA NINJA / PP956</x:v>
      </x:c>
      <x:c r="E37" s="11" t="str">
        <x:v>型号、交付形态与商品规格</x:v>
      </x:c>
      <x:c r="F37" s="11" t="str">
        <x:v>https://www.kotobukiya.co.jp/en/product/detail/p4934054032112/</x:v>
      </x:c>
      <x:c r="G37" s="11" t="str">
        <x:v>2026-10-05</x:v>
      </x:c>
      <x:c r="H37" s="11" t="str">
        <x:v>megami-asra-ninja-statue</x:v>
      </x:c>
    </x:row>
    <x:row r="38" ht="72" customHeight="1">
      <x:c r="A38" s="11" t="str">
        <x:v>露米蒂亚 · AR001</x:v>
      </x:c>
      <x:c r="B38" s="11" t="str">
        <x:v>主来源</x:v>
      </x:c>
      <x:c r="C38" s="11" t="str">
        <x:v>官方产品页</x:v>
      </x:c>
      <x:c r="D38" s="11" t="str">
        <x:v>ARCANADEA LUMITEA / AR001</x:v>
      </x:c>
      <x:c r="E38" s="11" t="str">
        <x:v>型号、交付形态与商品规格</x:v>
      </x:c>
      <x:c r="F38" s="11" t="str">
        <x:v>https://www.kotobukiya.co.jp/en/product/detail/p4934054038190/</x:v>
      </x:c>
      <x:c r="G38" s="11" t="str">
        <x:v>2026-10-05</x:v>
      </x:c>
      <x:c r="H38" s="11" t="str">
        <x:v>arcanadea-lumitea</x:v>
      </x:c>
    </x:row>
    <x:row r="39" ht="72" customHeight="1">
      <x:c r="A39" s="11" t="str">
        <x:v>きるプラ 结城圆 · 冬服</x:v>
      </x:c>
      <x:c r="B39" s="11" t="str">
        <x:v>主来源</x:v>
      </x:c>
      <x:c r="C39" s="11" t="str">
        <x:v>官方产品页</x:v>
      </x:c>
      <x:c r="D39" s="11" t="str">
        <x:v>KOTOBUKIYA USA：KiruPla Madoka</x:v>
      </x:c>
      <x:c r="E39" s="11" t="str">
        <x:v>比例、高度、套装组成与材料</x:v>
      </x:c>
      <x:c r="F39" s="11" t="str">
        <x:v>https://kotobukiya-us.com/products/190526079779</x:v>
      </x:c>
      <x:c r="G39" s="11" t="str">
        <x:v>2026-10-05</x:v>
      </x:c>
      <x:c r="H39" s="11" t="str">
        <x:v>kirupla-madoka-winter</x:v>
      </x:c>
    </x:row>
    <x:row r="40" ht="72" customHeight="1">
      <x:c r="A40" s="11" t="str">
        <x:v>きるプラ 结城圆 · 冬服</x:v>
      </x:c>
      <x:c r="B40" s="11" t="str">
        <x:v>补充来源</x:v>
      </x:c>
      <x:c r="C40" s="11" t="str">
        <x:v>官方计划记录</x:v>
      </x:c>
      <x:c r="D40" s="11" t="str">
        <x:v>寿屋日本官方商店：结城圆冬服</x:v>
      </x:c>
      <x:c r="E40" s="11" t="str">
        <x:v>确认计划发售月，不据此推断库存。</x:v>
      </x:c>
      <x:c r="F40" s="11" t="str">
        <x:v>https://shop.kotobukiya.co.jp/shop/g/g4934054088874/</x:v>
      </x:c>
      <x:c r="G40" s="11" t="str">
        <x:v>2026-10-05</x:v>
      </x:c>
      <x:c r="H40" s="11" t="str">
        <x:v>kirupla-madoka-winter</x:v>
      </x:c>
    </x:row>
    <x:row r="41" ht="72" customHeight="1">
      <x:c r="A41" s="11" t="str">
        <x:v>POP UP PARADE 初音</x:v>
      </x:c>
      <x:c r="B41" s="11" t="str">
        <x:v>主来源</x:v>
      </x:c>
      <x:c r="C41" s="11" t="str">
        <x:v>官方产品页</x:v>
      </x:c>
      <x:c r="D41" s="11" t="str">
        <x:v>POP UP PARADE Hatsune Miku（原版）</x:v>
      </x:c>
      <x:c r="E41" s="11" t="str">
        <x:v>型号、交付形态与商品规格</x:v>
      </x:c>
      <x:c r="F41" s="11" t="str">
        <x:v>https://www.goodsmile.com/en/product/5775/POP%2BUP%2BPARADE%2BHatsune%2BMiku</x:v>
      </x:c>
      <x:c r="G41" s="11" t="str">
        <x:v>2026-10-05</x:v>
      </x:c>
      <x:c r="H41" s="11" t="str">
        <x:v>pop-miku-original</x:v>
      </x:c>
    </x:row>
    <x:row r="42" ht="72" customHeight="1">
      <x:c r="A42" s="11" t="str">
        <x:v>POP 初音 · 透明色 L</x:v>
      </x:c>
      <x:c r="B42" s="11" t="str">
        <x:v>主来源</x:v>
      </x:c>
      <x:c r="C42" s="11" t="str">
        <x:v>官方产品页</x:v>
      </x:c>
      <x:c r="D42" s="11" t="str">
        <x:v>POP UP PARADE Hatsune Miku: Because You’re Here — Translucent Color Ver. L Size</x:v>
      </x:c>
      <x:c r="E42" s="11" t="str">
        <x:v>型号、交付形态与商品规格</x:v>
      </x:c>
      <x:c r="F42" s="11" t="str">
        <x:v>https://www.goodsmile.com/en/product/1137555/POP%2BUP%2BPARADE%2BHatsune%2BMiku%2BBecause%2BYou%2Bre%2BHere%2B-%2BTranslucent%2BColor%2BVer.%2BL%2BSize</x:v>
      </x:c>
      <x:c r="G42" s="11" t="str">
        <x:v>2026-10-05</x:v>
      </x:c>
      <x:c r="H42" s="11" t="str">
        <x:v>pop-miku-translucent-l</x:v>
      </x:c>
    </x:row>
    <x:row r="43" ht="72" customHeight="1">
      <x:c r="A43" s="11" t="str">
        <x:v>爱丽丝 · 衣装套件</x:v>
      </x:c>
      <x:c r="B43" s="11" t="str">
        <x:v>主来源</x:v>
      </x:c>
      <x:c r="C43" s="11" t="str">
        <x:v>官方产品页</x:v>
      </x:c>
      <x:c r="D43" s="11" t="str">
        <x:v>Nendoroid Doll Outfit Set: Alice</x:v>
      </x:c>
      <x:c r="E43" s="11" t="str">
        <x:v>型号、交付形态与商品规格</x:v>
      </x:c>
      <x:c r="F43" s="11" t="str">
        <x:v>https://www.goodsmile.com/en/product/5338/Nendoroid%2BDoll%2BOutfit%2BSet%2BAlice%2B</x:v>
      </x:c>
      <x:c r="G43" s="11" t="str">
        <x:v>2026-10-05</x:v>
      </x:c>
      <x:c r="H43" s="11" t="str">
        <x:v>nendoll-alice-outfit</x:v>
      </x:c>
    </x:row>
    <x:row r="44" ht="72" customHeight="1">
      <x:c r="A44" s="11" t="str">
        <x:v>CCSgirl 26SS ruruko PS</x:v>
      </x:c>
      <x:c r="B44" s="11" t="str">
        <x:v>主来源</x:v>
      </x:c>
      <x:c r="C44" s="11" t="str">
        <x:v>官方产品页</x:v>
      </x:c>
      <x:c r="D44" s="11" t="str">
        <x:v>CCSgirl 26SS ruruko PS</x:v>
      </x:c>
      <x:c r="E44" s="11" t="str">
        <x:v>本款全高、身体版本、衣装组成及产地分工。</x:v>
      </x:c>
      <x:c r="F44" s="11" t="str">
        <x:v>https://www.petworks.co.jp/doll/ruruko/11176/</x:v>
      </x:c>
      <x:c r="G44" s="11" t="str">
        <x:v>2026-10-05</x:v>
      </x:c>
      <x:c r="H44" s="11" t="str">
        <x:v>ruruko-11176</x:v>
      </x:c>
    </x:row>
    <x:row r="45" ht="72" customHeight="1">
      <x:c r="A45" s="11" t="str">
        <x:v>タータンバニー ruruko</x:v>
      </x:c>
      <x:c r="B45" s="11" t="str">
        <x:v>主来源</x:v>
      </x:c>
      <x:c r="C45" s="11" t="str">
        <x:v>官方产品页</x:v>
      </x:c>
      <x:c r="D45" s="11" t="str">
        <x:v>タータンバニー ruruko</x:v>
      </x:c>
      <x:c r="E45" s="11" t="str">
        <x:v>本款全高、身体版本、衣装组成及产地分工。</x:v>
      </x:c>
      <x:c r="F45" s="11" t="str">
        <x:v>https://www.petworks.co.jp/doll/ruruko/11148/</x:v>
      </x:c>
      <x:c r="G45" s="11" t="str">
        <x:v>2026-10-05</x:v>
      </x:c>
      <x:c r="H45" s="11" t="str">
        <x:v>ruruko-11148</x:v>
      </x:c>
    </x:row>
    <x:row r="46" ht="72" customHeight="1">
      <x:c r="A46" s="11" t="str">
        <x:v>朝霧のruruko PS</x:v>
      </x:c>
      <x:c r="B46" s="11" t="str">
        <x:v>主来源</x:v>
      </x:c>
      <x:c r="C46" s="11" t="str">
        <x:v>官方产品页</x:v>
      </x:c>
      <x:c r="D46" s="11" t="str">
        <x:v>朝霧のruruko PS</x:v>
      </x:c>
      <x:c r="E46" s="11" t="str">
        <x:v>本款全高、身体版本、衣装组成及产地分工。</x:v>
      </x:c>
      <x:c r="F46" s="11" t="str">
        <x:v>https://www.petworks.co.jp/doll/ruruko/11133/</x:v>
      </x:c>
      <x:c r="G46" s="11" t="str">
        <x:v>2026-10-05</x:v>
      </x:c>
      <x:c r="H46" s="11" t="str">
        <x:v>ruruko-11133</x:v>
      </x:c>
    </x:row>
    <x:row r="47" ht="72" customHeight="1">
      <x:c r="A47" s="11" t="str">
        <x:v>Fresh ruruko 26AZ</x:v>
      </x:c>
      <x:c r="B47" s="11" t="str">
        <x:v>主来源</x:v>
      </x:c>
      <x:c r="C47" s="11" t="str">
        <x:v>官方产品页</x:v>
      </x:c>
      <x:c r="D47" s="11" t="str">
        <x:v>Fresh ruruko 26AZ</x:v>
      </x:c>
      <x:c r="E47" s="11" t="str">
        <x:v>本款全高、身体版本、衣装组成及产地分工。</x:v>
      </x:c>
      <x:c r="F47" s="11" t="str">
        <x:v>https://www.petworks.co.jp/doll/ruruko/11121/</x:v>
      </x:c>
      <x:c r="G47" s="11" t="str">
        <x:v>2026-10-05</x:v>
      </x:c>
      <x:c r="H47" s="11" t="str">
        <x:v>ruruko-11121</x:v>
      </x:c>
    </x:row>
    <x:row r="48" ht="72" customHeight="1">
      <x:c r="A48" s="11" t="str">
        <x:v>Fresh ruruko 26HB</x:v>
      </x:c>
      <x:c r="B48" s="11" t="str">
        <x:v>主来源</x:v>
      </x:c>
      <x:c r="C48" s="11" t="str">
        <x:v>官方产品页</x:v>
      </x:c>
      <x:c r="D48" s="11" t="str">
        <x:v>Fresh ruruko 26HB</x:v>
      </x:c>
      <x:c r="E48" s="11" t="str">
        <x:v>本款全高、身体版本、衣装组成及产地分工。</x:v>
      </x:c>
      <x:c r="F48" s="11" t="str">
        <x:v>https://www.petworks.co.jp/doll/ruruko/10989/</x:v>
      </x:c>
      <x:c r="G48" s="11" t="str">
        <x:v>2026-10-05</x:v>
      </x:c>
      <x:c r="H48" s="11" t="str">
        <x:v>ruruko-10989</x:v>
      </x:c>
    </x:row>
    <x:row r="49" ht="72" customHeight="1">
      <x:c r="A49" s="11" t="str">
        <x:v>朝霧のruruko</x:v>
      </x:c>
      <x:c r="B49" s="11" t="str">
        <x:v>主来源</x:v>
      </x:c>
      <x:c r="C49" s="11" t="str">
        <x:v>官方产品页</x:v>
      </x:c>
      <x:c r="D49" s="11" t="str">
        <x:v>朝霧のruruko</x:v>
      </x:c>
      <x:c r="E49" s="11" t="str">
        <x:v>本款全高、身体版本、衣装组成及产地分工。</x:v>
      </x:c>
      <x:c r="F49" s="11" t="str">
        <x:v>https://www.petworks.co.jp/doll/ruruko/10899/</x:v>
      </x:c>
      <x:c r="G49" s="11" t="str">
        <x:v>2026-10-05</x:v>
      </x:c>
      <x:c r="H49" s="11" t="str">
        <x:v>ruruko-10899</x:v>
      </x:c>
    </x:row>
    <x:row r="50" ht="72" customHeight="1">
      <x:c r="A50" s="11" t="str">
        <x:v>CCSgirl 26干支 ruruko 午 PS</x:v>
      </x:c>
      <x:c r="B50" s="11" t="str">
        <x:v>主来源</x:v>
      </x:c>
      <x:c r="C50" s="11" t="str">
        <x:v>官方产品页</x:v>
      </x:c>
      <x:c r="D50" s="11" t="str">
        <x:v>CCSgirl 26干支 ruruko 午 PS</x:v>
      </x:c>
      <x:c r="E50" s="11" t="str">
        <x:v>本款全高、身体版本、衣装组成及产地分工。</x:v>
      </x:c>
      <x:c r="F50" s="11" t="str">
        <x:v>https://www.petworks.co.jp/doll/ruruko/10439/</x:v>
      </x:c>
      <x:c r="G50" s="11" t="str">
        <x:v>2026-10-05</x:v>
      </x:c>
      <x:c r="H50" s="11" t="str">
        <x:v>ruruko-10439</x:v>
      </x:c>
    </x:row>
    <x:row r="51" ht="72" customHeight="1">
      <x:c r="A51" s="11" t="str">
        <x:v>ruruko ae［mimi décor］</x:v>
      </x:c>
      <x:c r="B51" s="11" t="str">
        <x:v>主来源</x:v>
      </x:c>
      <x:c r="C51" s="11" t="str">
        <x:v>官方产品页</x:v>
      </x:c>
      <x:c r="D51" s="11" t="str">
        <x:v>ruruko ae［mimi décor］</x:v>
      </x:c>
      <x:c r="E51" s="11" t="str">
        <x:v>本款全高、身体版本、衣装组成及产地分工。</x:v>
      </x:c>
      <x:c r="F51" s="11" t="str">
        <x:v>https://www.petworks.co.jp/doll/ruruko/10499/</x:v>
      </x:c>
      <x:c r="G51" s="11" t="str">
        <x:v>2026-10-05</x:v>
      </x:c>
      <x:c r="H51" s="11" t="str">
        <x:v>ruruko-10499</x:v>
      </x:c>
    </x:row>
    <x:row r="52" ht="72" customHeight="1">
      <x:c r="A52" s="11" t="str">
        <x:v>ruruko ae［Candy Stripper］</x:v>
      </x:c>
      <x:c r="B52" s="11" t="str">
        <x:v>主来源</x:v>
      </x:c>
      <x:c r="C52" s="11" t="str">
        <x:v>官方产品页</x:v>
      </x:c>
      <x:c r="D52" s="11" t="str">
        <x:v>ruruko ae［Candy Stripper］</x:v>
      </x:c>
      <x:c r="E52" s="11" t="str">
        <x:v>本款全高、身体版本、衣装组成及产地分工。</x:v>
      </x:c>
      <x:c r="F52" s="11" t="str">
        <x:v>https://www.petworks.co.jp/doll/ruruko/10495/</x:v>
      </x:c>
      <x:c r="G52" s="11" t="str">
        <x:v>2026-10-05</x:v>
      </x:c>
      <x:c r="H52" s="11" t="str">
        <x:v>ruruko-10495</x:v>
      </x:c>
    </x:row>
    <x:row r="53" ht="72" customHeight="1">
      <x:c r="A53" s="11" t="str">
        <x:v>CCSgirl 26SS ruruko</x:v>
      </x:c>
      <x:c r="B53" s="11" t="str">
        <x:v>主来源</x:v>
      </x:c>
      <x:c r="C53" s="11" t="str">
        <x:v>官方产品页</x:v>
      </x:c>
      <x:c r="D53" s="11" t="str">
        <x:v>CCSgirl 26SS ruruko</x:v>
      </x:c>
      <x:c r="E53" s="11" t="str">
        <x:v>本款全高、身体版本、衣装组成及产地分工。</x:v>
      </x:c>
      <x:c r="F53" s="11" t="str">
        <x:v>https://www.petworks.co.jp/doll/ruruko/10354/</x:v>
      </x:c>
      <x:c r="G53" s="11" t="str">
        <x:v>2026-10-05</x:v>
      </x:c>
      <x:c r="H53" s="11" t="str">
        <x:v>ruruko-10354</x:v>
      </x:c>
    </x:row>
    <x:row r="54" ht="72" customHeight="1">
      <x:c r="A54" s="11" t="str">
        <x:v>Fresh ruruko 2603</x:v>
      </x:c>
      <x:c r="B54" s="11" t="str">
        <x:v>主来源</x:v>
      </x:c>
      <x:c r="C54" s="11" t="str">
        <x:v>官方产品页</x:v>
      </x:c>
      <x:c r="D54" s="11" t="str">
        <x:v>Fresh ruruko 2603</x:v>
      </x:c>
      <x:c r="E54" s="11" t="str">
        <x:v>本款全高、身体版本、衣装组成及产地分工。</x:v>
      </x:c>
      <x:c r="F54" s="11" t="str">
        <x:v>https://www.petworks.co.jp/doll/ruruko/10352/</x:v>
      </x:c>
      <x:c r="G54" s="11" t="str">
        <x:v>2026-10-05</x:v>
      </x:c>
      <x:c r="H54" s="11" t="str">
        <x:v>ruruko-10352</x:v>
      </x:c>
    </x:row>
    <x:row r="55" ht="72" customHeight="1">
      <x:c r="A55" s="11" t="str">
        <x:v>CCSgirl 26干支 ruruko 午</x:v>
      </x:c>
      <x:c r="B55" s="11" t="str">
        <x:v>主来源</x:v>
      </x:c>
      <x:c r="C55" s="11" t="str">
        <x:v>官方产品页</x:v>
      </x:c>
      <x:c r="D55" s="11" t="str">
        <x:v>CCSgirl 26干支 ruruko 午</x:v>
      </x:c>
      <x:c r="E55" s="11" t="str">
        <x:v>本款全高、身体版本、衣装组成及产地分工。</x:v>
      </x:c>
      <x:c r="F55" s="11" t="str">
        <x:v>https://www.petworks.co.jp/doll/ruruko/10147/</x:v>
      </x:c>
      <x:c r="G55" s="11" t="str">
        <x:v>2026-10-05</x:v>
      </x:c>
      <x:c r="H55" s="11" t="str">
        <x:v>ruruko-10147</x:v>
      </x:c>
    </x:row>
    <x:row r="56" ht="72" customHeight="1">
      <x:c r="A56" s="11" t="str">
        <x:v>CCSgirl 26VDAY ruruko</x:v>
      </x:c>
      <x:c r="B56" s="11" t="str">
        <x:v>主来源</x:v>
      </x:c>
      <x:c r="C56" s="11" t="str">
        <x:v>官方产品页</x:v>
      </x:c>
      <x:c r="D56" s="11" t="str">
        <x:v>CCSgirl 26VDAY ruruko</x:v>
      </x:c>
      <x:c r="E56" s="11" t="str">
        <x:v>本款全高、身体版本、衣装组成及产地分工。</x:v>
      </x:c>
      <x:c r="F56" s="11" t="str">
        <x:v>https://www.petworks.co.jp/doll/ruruko/9994/</x:v>
      </x:c>
      <x:c r="G56" s="11" t="str">
        <x:v>2026-10-05</x:v>
      </x:c>
      <x:c r="H56" s="11" t="str">
        <x:v>ruruko-9994</x:v>
      </x:c>
    </x:row>
    <x:row r="57" ht="72" customHeight="1">
      <x:c r="A57" s="11" t="str">
        <x:v>Fresh ruruko 2512 PS</x:v>
      </x:c>
      <x:c r="B57" s="11" t="str">
        <x:v>主来源</x:v>
      </x:c>
      <x:c r="C57" s="11" t="str">
        <x:v>官方产品页</x:v>
      </x:c>
      <x:c r="D57" s="11" t="str">
        <x:v>Fresh ruruko 2512 PS</x:v>
      </x:c>
      <x:c r="E57" s="11" t="str">
        <x:v>本款全高、身体版本、衣装组成及产地分工。</x:v>
      </x:c>
      <x:c r="F57" s="11" t="str">
        <x:v>https://www.petworks.co.jp/doll/ruruko/9937/</x:v>
      </x:c>
      <x:c r="G57" s="11" t="str">
        <x:v>2026-10-05</x:v>
      </x:c>
      <x:c r="H57" s="11" t="str">
        <x:v>ruruko-9937</x:v>
      </x:c>
    </x:row>
    <x:row r="58" ht="72" customHeight="1">
      <x:c r="A58" s="11" t="str">
        <x:v>屋根裏のruruko F.L.C. ver.</x:v>
      </x:c>
      <x:c r="B58" s="11" t="str">
        <x:v>主来源</x:v>
      </x:c>
      <x:c r="C58" s="11" t="str">
        <x:v>官方产品页</x:v>
      </x:c>
      <x:c r="D58" s="11" t="str">
        <x:v>屋根裏のruruko F.L.C. ver.</x:v>
      </x:c>
      <x:c r="E58" s="11" t="str">
        <x:v>本款全高、身体版本、衣装组成及产地分工。</x:v>
      </x:c>
      <x:c r="F58" s="11" t="str">
        <x:v>https://www.petworks.co.jp/doll/ruruko/9736/</x:v>
      </x:c>
      <x:c r="G58" s="11" t="str">
        <x:v>2026-10-05</x:v>
      </x:c>
      <x:c r="H58" s="11" t="str">
        <x:v>ruruko-9736</x:v>
      </x:c>
    </x:row>
    <x:row r="59" ht="72" customHeight="1">
      <x:c r="A59" s="11" t="str">
        <x:v>りんご園のruruko F.L.C. ver.</x:v>
      </x:c>
      <x:c r="B59" s="11" t="str">
        <x:v>主来源</x:v>
      </x:c>
      <x:c r="C59" s="11" t="str">
        <x:v>官方产品页</x:v>
      </x:c>
      <x:c r="D59" s="11" t="str">
        <x:v>りんご園のruruko F.L.C. ver.</x:v>
      </x:c>
      <x:c r="E59" s="11" t="str">
        <x:v>本款全高、身体版本、衣装组成及产地分工。</x:v>
      </x:c>
      <x:c r="F59" s="11" t="str">
        <x:v>https://www.petworks.co.jp/doll/ruruko/9738/</x:v>
      </x:c>
      <x:c r="G59" s="11" t="str">
        <x:v>2026-10-05</x:v>
      </x:c>
      <x:c r="H59" s="11" t="str">
        <x:v>ruruko-9738</x:v>
      </x:c>
    </x:row>
    <x:row r="60" ht="72" customHeight="1">
      <x:c r="A60" s="11" t="str">
        <x:v>十夜の夢 ruruko すみれ Azone Ex. bk</x:v>
      </x:c>
      <x:c r="B60" s="11" t="str">
        <x:v>主来源</x:v>
      </x:c>
      <x:c r="C60" s="11" t="str">
        <x:v>官方产品页</x:v>
      </x:c>
      <x:c r="D60" s="11" t="str">
        <x:v>十夜の夢 ruruko すみれ Azone Ex. bk</x:v>
      </x:c>
      <x:c r="E60" s="11" t="str">
        <x:v>本款全高、身体版本、衣装组成及产地分工。</x:v>
      </x:c>
      <x:c r="F60" s="11" t="str">
        <x:v>https://www.petworks.co.jp/doll/ruruko/9754/</x:v>
      </x:c>
      <x:c r="G60" s="11" t="str">
        <x:v>2026-10-05</x:v>
      </x:c>
      <x:c r="H60" s="11" t="str">
        <x:v>ruruko-9754</x:v>
      </x:c>
    </x:row>
    <x:row r="61" ht="72" customHeight="1">
      <x:c r="A61" s="11" t="str">
        <x:v>十夜の夢 ruruko すみれ Azone Ex. wh</x:v>
      </x:c>
      <x:c r="B61" s="11" t="str">
        <x:v>主来源</x:v>
      </x:c>
      <x:c r="C61" s="11" t="str">
        <x:v>官方产品页</x:v>
      </x:c>
      <x:c r="D61" s="11" t="str">
        <x:v>十夜の夢 ruruko すみれ Azone Ex. wh</x:v>
      </x:c>
      <x:c r="E61" s="11" t="str">
        <x:v>本款全高、身体版本、衣装组成及产地分工。</x:v>
      </x:c>
      <x:c r="F61" s="11" t="str">
        <x:v>https://www.petworks.co.jp/doll/ruruko/9758/</x:v>
      </x:c>
      <x:c r="G61" s="11" t="str">
        <x:v>2026-10-05</x:v>
      </x:c>
      <x:c r="H61" s="11" t="str">
        <x:v>ruruko-9758</x:v>
      </x:c>
    </x:row>
    <x:row r="62" ht="72" customHeight="1">
      <x:c r="A62" s="11" t="str">
        <x:v>Fresh ruruko 2507</x:v>
      </x:c>
      <x:c r="B62" s="11" t="str">
        <x:v>主来源</x:v>
      </x:c>
      <x:c r="C62" s="11" t="str">
        <x:v>官方产品页</x:v>
      </x:c>
      <x:c r="D62" s="11" t="str">
        <x:v>Fresh ruruko 2507</x:v>
      </x:c>
      <x:c r="E62" s="11" t="str">
        <x:v>本款全高、身体版本、衣装组成及产地分工。</x:v>
      </x:c>
      <x:c r="F62" s="11" t="str">
        <x:v>https://www.petworks.co.jp/doll/ruruko/9390/</x:v>
      </x:c>
      <x:c r="G62" s="11" t="str">
        <x:v>2026-10-05</x:v>
      </x:c>
      <x:c r="H62" s="11" t="str">
        <x:v>ruruko-9390</x:v>
      </x:c>
    </x:row>
    <x:row r="63" ht="72" customHeight="1">
      <x:c r="A63" s="11" t="str">
        <x:v>CCSgirl 25SS ruruko PS</x:v>
      </x:c>
      <x:c r="B63" s="11" t="str">
        <x:v>主来源</x:v>
      </x:c>
      <x:c r="C63" s="11" t="str">
        <x:v>官方产品页</x:v>
      </x:c>
      <x:c r="D63" s="11" t="str">
        <x:v>CCSgirl 25SS ruruko PS</x:v>
      </x:c>
      <x:c r="E63" s="11" t="str">
        <x:v>本款全高、身体版本、衣装组成及产地分工。</x:v>
      </x:c>
      <x:c r="F63" s="11" t="str">
        <x:v>https://www.petworks.co.jp/doll/ruruko/9379/</x:v>
      </x:c>
      <x:c r="G63" s="11" t="str">
        <x:v>2026-10-05</x:v>
      </x:c>
      <x:c r="H63" s="11" t="str">
        <x:v>ruruko-9379</x:v>
      </x:c>
    </x:row>
    <x:row r="64" ht="72" customHeight="1">
      <x:c r="A64" s="11" t="str">
        <x:v>Fresh ruruko 25HB</x:v>
      </x:c>
      <x:c r="B64" s="11" t="str">
        <x:v>主来源</x:v>
      </x:c>
      <x:c r="C64" s="11" t="str">
        <x:v>官方产品页</x:v>
      </x:c>
      <x:c r="D64" s="11" t="str">
        <x:v>Fresh ruruko 25HB</x:v>
      </x:c>
      <x:c r="E64" s="11" t="str">
        <x:v>本款全高、身体版本、衣装组成及产地分工。</x:v>
      </x:c>
      <x:c r="F64" s="11" t="str">
        <x:v>https://www.petworks.co.jp/doll/ruruko/9377/</x:v>
      </x:c>
      <x:c r="G64" s="11" t="str">
        <x:v>2026-10-05</x:v>
      </x:c>
      <x:c r="H64" s="11" t="str">
        <x:v>ruruko-9377</x:v>
      </x:c>
    </x:row>
    <x:row r="65" ht="72" customHeight="1">
      <x:c r="A65" s="11" t="str">
        <x:v>CCSgirl 24AW ruruko PS</x:v>
      </x:c>
      <x:c r="B65" s="11" t="str">
        <x:v>主来源</x:v>
      </x:c>
      <x:c r="C65" s="11" t="str">
        <x:v>官方产品页</x:v>
      </x:c>
      <x:c r="D65" s="11" t="str">
        <x:v>CCSgirl 24AW ruruko PS</x:v>
      </x:c>
      <x:c r="E65" s="11" t="str">
        <x:v>本款全高、身体版本、衣装组成及产地分工。</x:v>
      </x:c>
      <x:c r="F65" s="11" t="str">
        <x:v>https://www.petworks.co.jp/doll/ruruko/9198/</x:v>
      </x:c>
      <x:c r="G65" s="11" t="str">
        <x:v>2026-10-05</x:v>
      </x:c>
      <x:c r="H65" s="11" t="str">
        <x:v>ruruko-9198</x:v>
      </x:c>
    </x:row>
    <x:row r="66" ht="72" customHeight="1">
      <x:c r="A66" s="11" t="str">
        <x:v>イースターバニー ruruko boy PS</x:v>
      </x:c>
      <x:c r="B66" s="11" t="str">
        <x:v>主来源</x:v>
      </x:c>
      <x:c r="C66" s="11" t="str">
        <x:v>官方产品页</x:v>
      </x:c>
      <x:c r="D66" s="11" t="str">
        <x:v>イースターバニー ruruko boy PS</x:v>
      </x:c>
      <x:c r="E66" s="11" t="str">
        <x:v>本款全高、身体版本、衣装组成及产地分工。</x:v>
      </x:c>
      <x:c r="F66" s="11" t="str">
        <x:v>https://www.petworks.co.jp/doll/ruruko/9124/</x:v>
      </x:c>
      <x:c r="G66" s="11" t="str">
        <x:v>2026-10-05</x:v>
      </x:c>
      <x:c r="H66" s="11" t="str">
        <x:v>ruruko-9124</x:v>
      </x:c>
    </x:row>
    <x:row r="67" ht="72" customHeight="1">
      <x:c r="A67" s="11" t="str">
        <x:v>イースターバニー ruruko girl PS</x:v>
      </x:c>
      <x:c r="B67" s="11" t="str">
        <x:v>主来源</x:v>
      </x:c>
      <x:c r="C67" s="11" t="str">
        <x:v>官方产品页</x:v>
      </x:c>
      <x:c r="D67" s="11" t="str">
        <x:v>イースターバニー ruruko girl PS</x:v>
      </x:c>
      <x:c r="E67" s="11" t="str">
        <x:v>本款全高、身体版本、衣装组成及产地分工。</x:v>
      </x:c>
      <x:c r="F67" s="11" t="str">
        <x:v>https://www.petworks.co.jp/doll/ruruko/9127/</x:v>
      </x:c>
      <x:c r="G67" s="11" t="str">
        <x:v>2026-10-05</x:v>
      </x:c>
      <x:c r="H67" s="11" t="str">
        <x:v>ruruko-9127</x:v>
      </x:c>
    </x:row>
    <x:row r="68" ht="72" customHeight="1">
      <x:c r="A68" s="11" t="str">
        <x:v>CCSgirl 25SS ruruko</x:v>
      </x:c>
      <x:c r="B68" s="11" t="str">
        <x:v>主来源</x:v>
      </x:c>
      <x:c r="C68" s="11" t="str">
        <x:v>官方产品页</x:v>
      </x:c>
      <x:c r="D68" s="11" t="str">
        <x:v>CCSgirl 25SS ruruko</x:v>
      </x:c>
      <x:c r="E68" s="11" t="str">
        <x:v>本款全高、身体版本、衣装组成及产地分工。</x:v>
      </x:c>
      <x:c r="F68" s="11" t="str">
        <x:v>https://www.petworks.co.jp/doll/ruruko/9028/</x:v>
      </x:c>
      <x:c r="G68" s="11" t="str">
        <x:v>2026-10-05</x:v>
      </x:c>
      <x:c r="H68" s="11" t="str">
        <x:v>ruruko-9028</x:v>
      </x:c>
    </x:row>
    <x:row r="69" ht="72" customHeight="1">
      <x:c r="A69" s="11" t="str">
        <x:v>Phantom · 裸娃</x:v>
      </x:c>
      <x:c r="B69" s="11" t="str">
        <x:v>主来源</x:v>
      </x:c>
      <x:c r="C69" s="11" t="str">
        <x:v>官方商品选项页</x:v>
      </x:c>
      <x:c r="D69" s="11" t="str">
        <x:v>【Pre-sale】DollZone Phantom 1/3 Doll Full Set/nude doll/head Presale SD Doll  Spherical joint Dolls</x:v>
      </x:c>
      <x:c r="E69" s="11" t="str">
        <x:v>具体名称、比例、标题标称高度及裸娃／身体销售选项；图版参数尚待核对。</x:v>
      </x:c>
      <x:c r="F69" s="11" t="str">
        <x:v>https://doll-zone.com/products/pre-saledollzone-phantom-1-3-doll-full-set-nude-doll-head-presale-sd-doll-spherical-joint-dolls</x:v>
      </x:c>
      <x:c r="G69" s="11" t="str">
        <x:v>2026-10-05</x:v>
      </x:c>
      <x:c r="H69" s="11" t="str">
        <x:v>dollzone-1-3-doll-pre-saledollzone-phantom-1-3-doll-full-set-nude-doll-head-presale-sd-doll-spherical-joint-</x:v>
      </x:c>
    </x:row>
    <x:row r="70" ht="72" customHeight="1">
      <x:c r="A70" s="11" t="str">
        <x:v>SUN · 裸娃</x:v>
      </x:c>
      <x:c r="B70" s="11" t="str">
        <x:v>主来源</x:v>
      </x:c>
      <x:c r="C70" s="11" t="str">
        <x:v>官方商品选项页</x:v>
      </x:c>
      <x:c r="D70" s="11" t="str">
        <x:v>【Pre-sale】DollZone SUN 1/3 Doll Full Set/nude doll/head Presale SD Doll  Spherical joint Dolls</x:v>
      </x:c>
      <x:c r="E70" s="11" t="str">
        <x:v>具体名称、比例、标题标称高度及裸娃／身体销售选项；图版参数尚待核对。</x:v>
      </x:c>
      <x:c r="F70" s="11" t="str">
        <x:v>https://doll-zone.com/products/pre-saledollzone-sun-1-3-doll-full-set-nude-doll-head-presale-sd-doll-spherical-joint-dolls</x:v>
      </x:c>
      <x:c r="G70" s="11" t="str">
        <x:v>2026-10-05</x:v>
      </x:c>
      <x:c r="H70" s="11" t="str">
        <x:v>dollzone-1-3-doll-pre-saledollzone-sun-1-3-doll-full-set-nude-doll-head-presale-sd-doll-spherical-joint-doll</x:v>
      </x:c>
    </x:row>
    <x:row r="71" ht="72" customHeight="1">
      <x:c r="A71" s="11" t="str">
        <x:v>Gorgon · 裸娃</x:v>
      </x:c>
      <x:c r="B71" s="11" t="str">
        <x:v>主来源</x:v>
      </x:c>
      <x:c r="C71" s="11" t="str">
        <x:v>官方商品选项页</x:v>
      </x:c>
      <x:c r="D71" s="11" t="str">
        <x:v>【Pre-sale】DollZone Gorgon 1/3 Doll Full Set/nude doll/head Presale SD Doll  Spherical joint Dolls</x:v>
      </x:c>
      <x:c r="E71" s="11" t="str">
        <x:v>具体名称、比例、标题标称高度及裸娃／身体销售选项；图版参数尚待核对。</x:v>
      </x:c>
      <x:c r="F71" s="11" t="str">
        <x:v>https://doll-zone.com/products/pre-saledollzone-gorgon-1-3-doll-full-set-nude-doll-head-presale-sd-doll-spherical-joint-dolls</x:v>
      </x:c>
      <x:c r="G71" s="11" t="str">
        <x:v>2026-10-05</x:v>
      </x:c>
      <x:c r="H71" s="11" t="str">
        <x:v>dollzone-1-3-doll-pre-saledollzone-gorgon-1-3-doll-full-set-nude-doll-head-presale-sd-doll-spherical-joint-d</x:v>
      </x:c>
    </x:row>
    <x:row r="72" ht="72" customHeight="1">
      <x:c r="A72" s="11" t="str">
        <x:v>Rock · 裸娃</x:v>
      </x:c>
      <x:c r="B72" s="11" t="str">
        <x:v>主来源</x:v>
      </x:c>
      <x:c r="C72" s="11" t="str">
        <x:v>官方商品选项页</x:v>
      </x:c>
      <x:c r="D72" s="11" t="str">
        <x:v>【Pre-sale】DollZone Rock 1/3 Cooperation Description Doll Full Set/nude doll  Presale SD Doll 75cm Spherical joint Dolls</x:v>
      </x:c>
      <x:c r="E72" s="11" t="str">
        <x:v>具体名称、比例、标题标称高度及裸娃／身体销售选项；图版参数尚待核对。</x:v>
      </x:c>
      <x:c r="F72" s="11" t="str">
        <x:v>https://doll-zone.com/products/%E3%80%90pre-sale%E3%80%91dollzone-rock-1-3-cooperation-description-doll-full-set-nude-doll-presale-sd-doll-75cm-spherical-joint-dolls</x:v>
      </x:c>
      <x:c r="G72" s="11" t="str">
        <x:v>2026-10-05</x:v>
      </x:c>
      <x:c r="H72" s="11" t="str">
        <x:v>dollzone-1-3-doll--pre-sale-dollzone-rock-1-3-cooperation-description-doll-full-set-nude-doll-presale-sd-dol</x:v>
      </x:c>
    </x:row>
    <x:row r="73" ht="72" customHeight="1">
      <x:c r="A73" s="11" t="str">
        <x:v>Light · 裸娃</x:v>
      </x:c>
      <x:c r="B73" s="11" t="str">
        <x:v>主来源</x:v>
      </x:c>
      <x:c r="C73" s="11" t="str">
        <x:v>官方商品选项页</x:v>
      </x:c>
      <x:c r="D73" s="11" t="str">
        <x:v>【Pre-sale】DollZone Light 1/3 Cooperation Description Doll Full Set Presale SD Doll 73cm Spherical joint Dolls</x:v>
      </x:c>
      <x:c r="E73" s="11" t="str">
        <x:v>具体名称、比例、标题标称高度及裸娃／身体销售选项；图版参数尚待核对。</x:v>
      </x:c>
      <x:c r="F73" s="11" t="str">
        <x:v>https://doll-zone.com/products/%E3%80%90pre-sale%E3%80%91dollzone-light-1-3-cooperation-description-doll-full-set-presale-sd-doll-73cm-spherical-joint-dolls</x:v>
      </x:c>
      <x:c r="G73" s="11" t="str">
        <x:v>2026-10-05</x:v>
      </x:c>
      <x:c r="H73" s="11" t="str">
        <x:v>dollzone-1-3-doll--pre-sale-dollzone-light-1-3-cooperation-description-doll-full-set-presale-sd-doll-73cm-sp</x:v>
      </x:c>
    </x:row>
    <x:row r="74" ht="72" customHeight="1">
      <x:c r="A74" s="11" t="str">
        <x:v>Troy · 裸娃</x:v>
      </x:c>
      <x:c r="B74" s="11" t="str">
        <x:v>主来源</x:v>
      </x:c>
      <x:c r="C74" s="11" t="str">
        <x:v>官方商品选项页</x:v>
      </x:c>
      <x:c r="D74" s="11" t="str">
        <x:v>【Pre-sale】DollZone Troy 1/3 Cooperation Description Doll Full Set/nude doll  Presale SD Doll 73cm Spherical joint Dolls</x:v>
      </x:c>
      <x:c r="E74" s="11" t="str">
        <x:v>具体名称、比例、标题标称高度及裸娃／身体销售选项；图版参数尚待核对。</x:v>
      </x:c>
      <x:c r="F74" s="11" t="str">
        <x:v>https://doll-zone.com/products/%E3%80%90pre-sale%E3%80%91dollzone-troy-1-3-cooperation-description-doll-full-set-nude-doll-presale-sd-doll-73cm-spherical-joint-dolls</x:v>
      </x:c>
      <x:c r="G74" s="11" t="str">
        <x:v>2026-10-05</x:v>
      </x:c>
      <x:c r="H74" s="11" t="str">
        <x:v>dollzone-1-3-doll--pre-sale-dollzone-troy-1-3-cooperation-description-doll-full-set-nude-doll-presale-sd-dol</x:v>
      </x:c>
    </x:row>
    <x:row r="75" ht="72" customHeight="1">
      <x:c r="A75" s="11" t="str">
        <x:v>Nona · 裸娃</x:v>
      </x:c>
      <x:c r="B75" s="11" t="str">
        <x:v>主来源</x:v>
      </x:c>
      <x:c r="C75" s="11" t="str">
        <x:v>官方商品选项页</x:v>
      </x:c>
      <x:c r="D75" s="11" t="str">
        <x:v>【Pre-sale】DollZone Nona 1/3 Cooperation Description Doll Full Set Presale SD Doll 70cm Spherical joint Dolls</x:v>
      </x:c>
      <x:c r="E75" s="11" t="str">
        <x:v>具体名称、比例、标题标称高度及裸娃／身体销售选项；图版参数尚待核对。</x:v>
      </x:c>
      <x:c r="F75" s="11" t="str">
        <x:v>https://doll-zone.com/products/%E3%80%90pre-sale%E3%80%91dollzone-nona-1-3-cooperation-description-doll-full-set-presale-sd-doll-70cm-spherical-joint-dolls</x:v>
      </x:c>
      <x:c r="G75" s="11" t="str">
        <x:v>2026-10-05</x:v>
      </x:c>
      <x:c r="H75" s="11" t="str">
        <x:v>dollzone-1-3-doll--pre-sale-dollzone-nona-1-3-cooperation-description-doll-full-set-presale-sd-doll-70cm-sph</x:v>
      </x:c>
    </x:row>
    <x:row r="76" ht="72" customHeight="1">
      <x:c r="A76" s="11" t="str">
        <x:v>moon · 裸娃</x:v>
      </x:c>
      <x:c r="B76" s="11" t="str">
        <x:v>主来源</x:v>
      </x:c>
      <x:c r="C76" s="11" t="str">
        <x:v>官方商品选项页</x:v>
      </x:c>
      <x:c r="D76" s="11" t="str">
        <x:v>【Pre-sale】DollZone moon 1/3 Cooperation Description Doll Full Set Presale SD Doll 73cm Spherical joint Dolls</x:v>
      </x:c>
      <x:c r="E76" s="11" t="str">
        <x:v>具体名称、比例、标题标称高度及裸娃／身体销售选项；图版参数尚待核对。</x:v>
      </x:c>
      <x:c r="F76" s="11" t="str">
        <x:v>https://doll-zone.com/products/%E3%80%90pre-sale%E3%80%91dollzone-moon-1-3-cooperation-description-doll-full-set-presale-sd-doll-73cm-spherical-joint-dolls</x:v>
      </x:c>
      <x:c r="G76" s="11" t="str">
        <x:v>2026-10-05</x:v>
      </x:c>
      <x:c r="H76" s="11" t="str">
        <x:v>dollzone-1-3-doll--pre-sale-dollzone-moon-1-3-cooperation-description-doll-full-set-presale-sd-doll-73cm-sph</x:v>
      </x:c>
    </x:row>
    <x:row r="77" ht="72" customHeight="1">
      <x:c r="A77" s="11" t="str">
        <x:v>75 Gray · 裸娃</x:v>
      </x:c>
      <x:c r="B77" s="11" t="str">
        <x:v>主来源</x:v>
      </x:c>
      <x:c r="C77" s="11" t="str">
        <x:v>官方商品选项页</x:v>
      </x:c>
      <x:c r="D77" s="11" t="str">
        <x:v>【Pre-sale】DollZone 75 Gray 1/3 Doll Full Set Presale SD Doll 75cm Spherical joint Dolls</x:v>
      </x:c>
      <x:c r="E77" s="11" t="str">
        <x:v>具体名称、比例、标题标称高度及裸娃／身体销售选项；图版参数尚待核对。</x:v>
      </x:c>
      <x:c r="F77" s="11" t="str">
        <x:v>https://doll-zone.com/products/dollzone-75-gray</x:v>
      </x:c>
      <x:c r="G77" s="11" t="str">
        <x:v>2026-10-05</x:v>
      </x:c>
      <x:c r="H77" s="11" t="str">
        <x:v>dollzone-1-3-doll-dollzone-75-gray</x:v>
      </x:c>
    </x:row>
    <x:row r="78" ht="72" customHeight="1">
      <x:c r="A78" s="11" t="str">
        <x:v>Evan · 裸娃</x:v>
      </x:c>
      <x:c r="B78" s="11" t="str">
        <x:v>主来源</x:v>
      </x:c>
      <x:c r="C78" s="11" t="str">
        <x:v>官方商品选项页</x:v>
      </x:c>
      <x:c r="D78" s="11" t="str">
        <x:v>【Pre-sale】DollZone Evan 1/3 Doll Full Set Presale SD Doll 75cm Spherical joint Dolls</x:v>
      </x:c>
      <x:c r="E78" s="11" t="str">
        <x:v>具体名称、比例、标题标称高度及裸娃／身体销售选项；图版参数尚待核对。</x:v>
      </x:c>
      <x:c r="F78" s="11" t="str">
        <x:v>https://doll-zone.com/products/evan</x:v>
      </x:c>
      <x:c r="G78" s="11" t="str">
        <x:v>2026-10-05</x:v>
      </x:c>
      <x:c r="H78" s="11" t="str">
        <x:v>dollzone-1-3-doll-evan</x:v>
      </x:c>
    </x:row>
    <x:row r="79" ht="72" customHeight="1">
      <x:c r="A79" s="11" t="str">
        <x:v>Rosa · 裸娃</x:v>
      </x:c>
      <x:c r="B79" s="11" t="str">
        <x:v>主来源</x:v>
      </x:c>
      <x:c r="C79" s="11" t="str">
        <x:v>官方商品选项页</x:v>
      </x:c>
      <x:c r="D79" s="11" t="str">
        <x:v>【Pre-sale】DollZone Rosa 1/4  Doll Full Set/nude doll/head Presale SD Doll  Spherical joint Dolls</x:v>
      </x:c>
      <x:c r="E79" s="11" t="str">
        <x:v>具体名称、比例、标题标称高度及裸娃／身体销售选项；图版参数尚待核对。</x:v>
      </x:c>
      <x:c r="F79" s="11" t="str">
        <x:v>https://doll-zone.com/products/%E3%80%90pre-sale%E3%80%91dollzone-rosa-1-4-doll-full-set-nude-doll-head-presale-sd-doll-spherical-joint-dolls</x:v>
      </x:c>
      <x:c r="G79" s="11" t="str">
        <x:v>2026-10-05</x:v>
      </x:c>
      <x:c r="H79" s="11" t="str">
        <x:v>dollzone-1-4-doll--pre-sale-dollzone-rosa-1-4-doll-full-set-nude-doll-head-presale-sd-doll-spherical-joint-d</x:v>
      </x:c>
    </x:row>
    <x:row r="80" ht="72" customHeight="1">
      <x:c r="A80" s="11" t="str">
        <x:v>XIAO YI · 裸娃</x:v>
      </x:c>
      <x:c r="B80" s="11" t="str">
        <x:v>主来源</x:v>
      </x:c>
      <x:c r="C80" s="11" t="str">
        <x:v>官方商品选项页</x:v>
      </x:c>
      <x:c r="D80" s="11" t="str">
        <x:v>【Pre-sale】DollZone XIAO YI 1/4 Cooperation Description Doll Full Set/nude doll/head Presale SD Doll 45cm Spherical joint Dolls</x:v>
      </x:c>
      <x:c r="E80" s="11" t="str">
        <x:v>具体名称、比例、标题标称高度及裸娃／身体销售选项；图版参数尚待核对。</x:v>
      </x:c>
      <x:c r="F80" s="11" t="str">
        <x:v>https://doll-zone.com/products/pre-saledollzone-xiao-yi-1-4-cooperation-description-doll-full-set-nude-doll-head-presale-sd-doll-45cm-spherical-joint-dolls</x:v>
      </x:c>
      <x:c r="G80" s="11" t="str">
        <x:v>2026-10-05</x:v>
      </x:c>
      <x:c r="H80" s="11" t="str">
        <x:v>dollzone-1-4-doll-pre-saledollzone-xiao-yi-1-4-cooperation-description-doll-full-set-nude-doll-head-presale-</x:v>
      </x:c>
    </x:row>
    <x:row r="81" ht="72" customHeight="1">
      <x:c r="A81" s="11" t="str">
        <x:v>XIAO CHU · 裸娃</x:v>
      </x:c>
      <x:c r="B81" s="11" t="str">
        <x:v>主来源</x:v>
      </x:c>
      <x:c r="C81" s="11" t="str">
        <x:v>官方商品选项页</x:v>
      </x:c>
      <x:c r="D81" s="11" t="str">
        <x:v>【Pre-sale】DollZone XIAO CHU 1/4 Cooperation Description Doll Full Set/nude doll/head Presale SD Doll 45cm Spherical joint Dolls</x:v>
      </x:c>
      <x:c r="E81" s="11" t="str">
        <x:v>具体名称、比例、标题标称高度及裸娃／身体销售选项；图版参数尚待核对。</x:v>
      </x:c>
      <x:c r="F81" s="11" t="str">
        <x:v>https://doll-zone.com/products/%E3%80%90pre-sale%E3%80%91dollzone-xiao-chu-1-4-cooperation-description-doll-full-set-nude-doll-head-presale-sd-doll-45cm-spherical-joint-dolls</x:v>
      </x:c>
      <x:c r="G81" s="11" t="str">
        <x:v>2026-10-05</x:v>
      </x:c>
      <x:c r="H81" s="11" t="str">
        <x:v>dollzone-1-4-doll--pre-sale-dollzone-xiao-chu-1-4-cooperation-description-doll-full-set-nude-doll-head-presa</x:v>
      </x:c>
    </x:row>
    <x:row r="82" ht="72" customHeight="1">
      <x:c r="A82" s="11" t="str">
        <x:v>The world · 裸娃</x:v>
      </x:c>
      <x:c r="B82" s="11" t="str">
        <x:v>主来源</x:v>
      </x:c>
      <x:c r="C82" s="11" t="str">
        <x:v>官方商品选项页</x:v>
      </x:c>
      <x:c r="D82" s="11" t="str">
        <x:v>【Pre-sale】DollZone The world 1/4 Doll Full Set/nude doll/head Presale SD Doll  Spherical joint Dolls</x:v>
      </x:c>
      <x:c r="E82" s="11" t="str">
        <x:v>具体名称、比例、标题标称高度及裸娃／身体销售选项；图版参数尚待核对。</x:v>
      </x:c>
      <x:c r="F82" s="11" t="str">
        <x:v>https://doll-zone.com/products/pre-saledollzone-the-world-1-4-doll-full-set-nude-doll-head-presale-sd-doll-spherical-joint-dolls</x:v>
      </x:c>
      <x:c r="G82" s="11" t="str">
        <x:v>2026-10-05</x:v>
      </x:c>
      <x:c r="H82" s="11" t="str">
        <x:v>dollzone-body-2-pre-saledollzone-the-world-1-4-doll-full-set-nude-doll-head-presale-sd-doll-spherical-join</x:v>
      </x:c>
    </x:row>
    <x:row r="83" ht="72" customHeight="1">
      <x:c r="A83" s="11" t="str">
        <x:v>B77-001 · 素体</x:v>
      </x:c>
      <x:c r="B83" s="11" t="str">
        <x:v>主来源</x:v>
      </x:c>
      <x:c r="C83" s="11" t="str">
        <x:v>官方商品选项页</x:v>
      </x:c>
      <x:c r="D83" s="11" t="str">
        <x:v>【Pre-sale】DollZone B77-001 1/3 Body Presale SD Doll 77cm Spherical joint Dolls</x:v>
      </x:c>
      <x:c r="E83" s="11" t="str">
        <x:v>具体名称、比例、标题标称高度及裸娃／身体销售选项；图版参数尚待核对。</x:v>
      </x:c>
      <x:c r="F83" s="11" t="str">
        <x:v>https://doll-zone.com/products/pre-saledollzone-b77-001-1-3-body-presale-sd-doll-77cm-spherical-joint-dolls</x:v>
      </x:c>
      <x:c r="G83" s="11" t="str">
        <x:v>2026-10-05</x:v>
      </x:c>
      <x:c r="H83" s="11" t="str">
        <x:v>dollzone-body-2-pre-saledollzone-b77-001-1-3-body-presale-sd-doll-77cm-spherical-joint-dolls</x:v>
      </x:c>
    </x:row>
    <x:row r="84" ht="72" customHeight="1">
      <x:c r="A84" s="11" t="str">
        <x:v>B71-003-1/B71-003-2 · 素体</x:v>
      </x:c>
      <x:c r="B84" s="11" t="str">
        <x:v>主来源</x:v>
      </x:c>
      <x:c r="C84" s="11" t="str">
        <x:v>官方商品选项页</x:v>
      </x:c>
      <x:c r="D84" s="11" t="str">
        <x:v>【Pre-sale】DollZone B71-003-1/B71-003-2 1/3 Body Presale SD Doll 71cm Spherical joint Dolls</x:v>
      </x:c>
      <x:c r="E84" s="11" t="str">
        <x:v>具体名称、比例、标题标称高度及裸娃／身体销售选项；图版参数尚待核对。</x:v>
      </x:c>
      <x:c r="F84" s="11" t="str">
        <x:v>https://doll-zone.com/products/pre-saledollzone-b71-003-1-b71-003-2-1-3-body-presale-sd-doll-71cm-spherical-joint-dolls</x:v>
      </x:c>
      <x:c r="G84" s="11" t="str">
        <x:v>2026-10-05</x:v>
      </x:c>
      <x:c r="H84" s="11" t="str">
        <x:v>dollzone-body-2-pre-saledollzone-b71-003-1-b71-003-2-1-3-body-presale-sd-doll-71cm-spherical-joint-dolls</x:v>
      </x:c>
    </x:row>
    <x:row r="85" ht="72" customHeight="1">
      <x:c r="A85" s="11" t="str">
        <x:v>bobo body · 素体</x:v>
      </x:c>
      <x:c r="B85" s="11" t="str">
        <x:v>主来源</x:v>
      </x:c>
      <x:c r="C85" s="11" t="str">
        <x:v>官方商品选项页</x:v>
      </x:c>
      <x:c r="D85" s="11" t="str">
        <x:v>【Pre-sale】DollZone bobo body 1/6 Body Presale SD Doll 24cm Spherical joint Dolls</x:v>
      </x:c>
      <x:c r="E85" s="11" t="str">
        <x:v>具体名称、比例、标题标称高度及裸娃／身体销售选项；图版参数尚待核对。</x:v>
      </x:c>
      <x:c r="F85" s="11" t="str">
        <x:v>https://doll-zone.com/products/%E3%80%90pre-sale%E3%80%91dollzone-bobo-body-1-6-body-presale-sd-doll-24cm-spherical-joint-dolls</x:v>
      </x:c>
      <x:c r="G85" s="11" t="str">
        <x:v>2026-10-05</x:v>
      </x:c>
      <x:c r="H85" s="11" t="str">
        <x:v>dollzone-body-2--pre-sale-dollzone-bobo-body-1-6-body-presale-sd-doll-24cm-spherical-joint-dolls</x:v>
      </x:c>
    </x:row>
    <x:row r="86" ht="72" customHeight="1">
      <x:c r="A86" s="11" t="str">
        <x:v>B75-002 · 素体</x:v>
      </x:c>
      <x:c r="B86" s="11" t="str">
        <x:v>主来源</x:v>
      </x:c>
      <x:c r="C86" s="11" t="str">
        <x:v>官方商品选项页</x:v>
      </x:c>
      <x:c r="D86" s="11" t="str">
        <x:v>【Pre-sale】DollZone B75-002 1/3 Body Presale SD Doll 75cm Spherical joint Dolls</x:v>
      </x:c>
      <x:c r="E86" s="11" t="str">
        <x:v>具体名称、比例、标题标称高度及裸娃／身体销售选项；图版参数尚待核对。</x:v>
      </x:c>
      <x:c r="F86" s="11" t="str">
        <x:v>https://doll-zone.com/products/pre-saledollzone-b75-002-1-3-body-presale-sd-doll-75cm-spherical-joint-dolls</x:v>
      </x:c>
      <x:c r="G86" s="11" t="str">
        <x:v>2026-10-05</x:v>
      </x:c>
      <x:c r="H86" s="11" t="str">
        <x:v>dollzone-body-2-pre-saledollzone-b75-002-1-3-body-presale-sd-doll-75cm-spherical-joint-dolls</x:v>
      </x:c>
    </x:row>
    <x:row r="87" ht="72" customHeight="1">
      <x:c r="A87" s="11" t="str">
        <x:v>B45-022 · 素体</x:v>
      </x:c>
      <x:c r="B87" s="11" t="str">
        <x:v>主来源</x:v>
      </x:c>
      <x:c r="C87" s="11" t="str">
        <x:v>官方商品选项页</x:v>
      </x:c>
      <x:c r="D87" s="11" t="str">
        <x:v>【Pre-sale】DollZone B45-022  1/4 girl  Body Presale SD Doll 43cm Spherical joint Dolls Hand Accessories Foot Accessories</x:v>
      </x:c>
      <x:c r="E87" s="11" t="str">
        <x:v>具体名称、比例、标题标称高度及裸娃／身体销售选项；图版参数尚待核对。</x:v>
      </x:c>
      <x:c r="F87" s="11" t="str">
        <x:v>https://doll-zone.com/products/%E3%80%90pre-sale%E3%80%91dollzone-b45-022-1-4-girl-body-presale-sd-doll-43cm-spherical-joint-dolls-hand-accessories-foot-accessories</x:v>
      </x:c>
      <x:c r="G87" s="11" t="str">
        <x:v>2026-10-05</x:v>
      </x:c>
      <x:c r="H87" s="11" t="str">
        <x:v>dollzone-body-2--pre-sale-dollzone-b45-022-1-4-girl-body-presale-sd-doll-43cm-spherical-joint-dolls-hand-a</x:v>
      </x:c>
    </x:row>
    <x:row r="88" ht="72" customHeight="1">
      <x:c r="A88" s="11" t="str">
        <x:v>73 cm 身体 · 素体</x:v>
      </x:c>
      <x:c r="B88" s="11" t="str">
        <x:v>主来源</x:v>
      </x:c>
      <x:c r="C88" s="11" t="str">
        <x:v>官方商品选项页</x:v>
      </x:c>
      <x:c r="D88" s="11" t="str">
        <x:v>73</x:v>
      </x:c>
      <x:c r="E88" s="11" t="str">
        <x:v>具体名称、比例、标题标称高度及裸娃／身体销售选项；图版参数尚待核对。</x:v>
      </x:c>
      <x:c r="F88" s="11" t="str">
        <x:v>https://doll-zone.com/products/73</x:v>
      </x:c>
      <x:c r="G88" s="11" t="str">
        <x:v>2026-10-05</x:v>
      </x:c>
      <x:c r="H88" s="11" t="str">
        <x:v>dollzone-body-2-73</x:v>
      </x:c>
    </x:row>
    <x:row r="89" ht="72" customHeight="1">
      <x:c r="A89" s="11" t="str">
        <x:v>黏土人偶 Nagito Komaeda</x:v>
      </x:c>
      <x:c r="B89" s="11" t="str">
        <x:v>主来源</x:v>
      </x:c>
      <x:c r="C89" s="11" t="str">
        <x:v>官方产品页</x:v>
      </x:c>
      <x:c r="D89" s="11" t="str">
        <x:v>Nendoroid Doll Nagito Komaeda</x:v>
      </x:c>
      <x:c r="E89" s="11" t="str">
        <x:v>具体型号、制造主体、交付规格、材料与尺寸；未知字段保留。</x:v>
      </x:c>
      <x:c r="F89" s="11" t="str">
        <x:v>https://www.goodsmile.com/en/product/1141832</x:v>
      </x:c>
      <x:c r="G89" s="11" t="str">
        <x:v>2026-10-05</x:v>
      </x:c>
      <x:c r="H89" s="11" t="str">
        <x:v>gsc-doll-1141832</x:v>
      </x:c>
    </x:row>
    <x:row r="90" ht="72" customHeight="1">
      <x:c r="A90" s="11" t="str">
        <x:v>黏土人偶服装: Nagito Komaeda</x:v>
      </x:c>
      <x:c r="B90" s="11" t="str">
        <x:v>主来源</x:v>
      </x:c>
      <x:c r="C90" s="11" t="str">
        <x:v>官方产品页</x:v>
      </x:c>
      <x:c r="D90" s="11" t="str">
        <x:v>Nendoroid Doll Outfit Set: Nagito Komaeda</x:v>
      </x:c>
      <x:c r="E90" s="11" t="str">
        <x:v>具体型号、制造主体、交付规格、材料与尺寸；未知字段保留。</x:v>
      </x:c>
      <x:c r="F90" s="11" t="str">
        <x:v>https://www.goodsmile.com/en/product/1141833</x:v>
      </x:c>
      <x:c r="G90" s="11" t="str">
        <x:v>2026-10-05</x:v>
      </x:c>
      <x:c r="H90" s="11" t="str">
        <x:v>gsc-doll-1141833</x:v>
      </x:c>
    </x:row>
    <x:row r="91" ht="72" customHeight="1">
      <x:c r="A91" s="11" t="str">
        <x:v>黏土人偶 Monika</x:v>
      </x:c>
      <x:c r="B91" s="11" t="str">
        <x:v>主来源</x:v>
      </x:c>
      <x:c r="C91" s="11" t="str">
        <x:v>官方产品页</x:v>
      </x:c>
      <x:c r="D91" s="11" t="str">
        <x:v>Nendoroid Doll Monika</x:v>
      </x:c>
      <x:c r="E91" s="11" t="str">
        <x:v>具体型号、制造主体、交付规格、材料与尺寸；未知字段保留。</x:v>
      </x:c>
      <x:c r="F91" s="11" t="str">
        <x:v>https://www.goodsmile.com/en/product/1142668</x:v>
      </x:c>
      <x:c r="G91" s="11" t="str">
        <x:v>2026-10-05</x:v>
      </x:c>
      <x:c r="H91" s="11" t="str">
        <x:v>gsc-doll-1142668</x:v>
      </x:c>
    </x:row>
    <x:row r="92" ht="72" customHeight="1">
      <x:c r="A92" s="11" t="str">
        <x:v>黏土人偶服装: Monika</x:v>
      </x:c>
      <x:c r="B92" s="11" t="str">
        <x:v>主来源</x:v>
      </x:c>
      <x:c r="C92" s="11" t="str">
        <x:v>官方产品页</x:v>
      </x:c>
      <x:c r="D92" s="11" t="str">
        <x:v>Nendoroid Doll Outfit Set: Monika</x:v>
      </x:c>
      <x:c r="E92" s="11" t="str">
        <x:v>具体型号、制造主体、交付规格、材料与尺寸；未知字段保留。</x:v>
      </x:c>
      <x:c r="F92" s="11" t="str">
        <x:v>https://www.goodsmile.com/en/product/1142669</x:v>
      </x:c>
      <x:c r="G92" s="11" t="str">
        <x:v>2026-10-05</x:v>
      </x:c>
      <x:c r="H92" s="11" t="str">
        <x:v>gsc-doll-1142669</x:v>
      </x:c>
    </x:row>
    <x:row r="93" ht="72" customHeight="1">
      <x:c r="A93" s="11" t="str">
        <x:v>黏土人偶 Übel</x:v>
      </x:c>
      <x:c r="B93" s="11" t="str">
        <x:v>主来源</x:v>
      </x:c>
      <x:c r="C93" s="11" t="str">
        <x:v>官方产品页</x:v>
      </x:c>
      <x:c r="D93" s="11" t="str">
        <x:v>Nendoroid Doll Übel</x:v>
      </x:c>
      <x:c r="E93" s="11" t="str">
        <x:v>具体型号、制造主体、交付规格、材料与尺寸；未知字段保留。</x:v>
      </x:c>
      <x:c r="F93" s="11" t="str">
        <x:v>https://www.goodsmile.com/en/product/1143700</x:v>
      </x:c>
      <x:c r="G93" s="11" t="str">
        <x:v>2026-10-05</x:v>
      </x:c>
      <x:c r="H93" s="11" t="str">
        <x:v>gsc-doll-1143700</x:v>
      </x:c>
    </x:row>
    <x:row r="94" ht="72" customHeight="1">
      <x:c r="A94" s="11" t="str">
        <x:v>黏土人偶服装: Übel</x:v>
      </x:c>
      <x:c r="B94" s="11" t="str">
        <x:v>主来源</x:v>
      </x:c>
      <x:c r="C94" s="11" t="str">
        <x:v>官方产品页</x:v>
      </x:c>
      <x:c r="D94" s="11" t="str">
        <x:v>Nendoroid Doll Outfit Set: Übel</x:v>
      </x:c>
      <x:c r="E94" s="11" t="str">
        <x:v>具体型号、制造主体、交付规格、材料与尺寸；未知字段保留。</x:v>
      </x:c>
      <x:c r="F94" s="11" t="str">
        <x:v>https://www.goodsmile.com/en/product/1143701</x:v>
      </x:c>
      <x:c r="G94" s="11" t="str">
        <x:v>2026-10-05</x:v>
      </x:c>
      <x:c r="H94" s="11" t="str">
        <x:v>gsc-doll-1143701</x:v>
      </x:c>
    </x:row>
    <x:row r="95" ht="72" customHeight="1">
      <x:c r="A95" s="11" t="str">
        <x:v>黏土人偶 Arona</x:v>
      </x:c>
      <x:c r="B95" s="11" t="str">
        <x:v>主来源</x:v>
      </x:c>
      <x:c r="C95" s="11" t="str">
        <x:v>官方产品页</x:v>
      </x:c>
      <x:c r="D95" s="11" t="str">
        <x:v>Nendoroid Doll Arona</x:v>
      </x:c>
      <x:c r="E95" s="11" t="str">
        <x:v>具体型号、制造主体、交付规格、材料与尺寸；未知字段保留。</x:v>
      </x:c>
      <x:c r="F95" s="11" t="str">
        <x:v>https://www.goodsmile.com/en/product/1141869</x:v>
      </x:c>
      <x:c r="G95" s="11" t="str">
        <x:v>2026-10-05</x:v>
      </x:c>
      <x:c r="H95" s="11" t="str">
        <x:v>gsc-doll-1141869</x:v>
      </x:c>
    </x:row>
    <x:row r="96" ht="72" customHeight="1">
      <x:c r="A96" s="11" t="str">
        <x:v>黏土人偶服装: Arona</x:v>
      </x:c>
      <x:c r="B96" s="11" t="str">
        <x:v>主来源</x:v>
      </x:c>
      <x:c r="C96" s="11" t="str">
        <x:v>官方产品页</x:v>
      </x:c>
      <x:c r="D96" s="11" t="str">
        <x:v>Nendoroid Doll Outfit Set: Arona</x:v>
      </x:c>
      <x:c r="E96" s="11" t="str">
        <x:v>具体型号、制造主体、交付规格、材料与尺寸；未知字段保留。</x:v>
      </x:c>
      <x:c r="F96" s="11" t="str">
        <x:v>https://www.goodsmile.com/en/product/1141870</x:v>
      </x:c>
      <x:c r="G96" s="11" t="str">
        <x:v>2026-10-05</x:v>
      </x:c>
      <x:c r="H96" s="11" t="str">
        <x:v>gsc-doll-1141870</x:v>
      </x:c>
    </x:row>
    <x:row r="97" ht="72" customHeight="1">
      <x:c r="A97" s="11" t="str">
        <x:v>黏土人偶 Plana</x:v>
      </x:c>
      <x:c r="B97" s="11" t="str">
        <x:v>主来源</x:v>
      </x:c>
      <x:c r="C97" s="11" t="str">
        <x:v>官方产品页</x:v>
      </x:c>
      <x:c r="D97" s="11" t="str">
        <x:v>Nendoroid Doll Plana</x:v>
      </x:c>
      <x:c r="E97" s="11" t="str">
        <x:v>具体型号、制造主体、交付规格、材料与尺寸；未知字段保留。</x:v>
      </x:c>
      <x:c r="F97" s="11" t="str">
        <x:v>https://www.goodsmile.com/en/product/1141871</x:v>
      </x:c>
      <x:c r="G97" s="11" t="str">
        <x:v>2026-10-05</x:v>
      </x:c>
      <x:c r="H97" s="11" t="str">
        <x:v>gsc-doll-1141871</x:v>
      </x:c>
    </x:row>
    <x:row r="98" ht="72" customHeight="1">
      <x:c r="A98" s="11" t="str">
        <x:v>黏土人偶服装: Plana</x:v>
      </x:c>
      <x:c r="B98" s="11" t="str">
        <x:v>主来源</x:v>
      </x:c>
      <x:c r="C98" s="11" t="str">
        <x:v>官方产品页</x:v>
      </x:c>
      <x:c r="D98" s="11" t="str">
        <x:v>Nendoroid Doll Outfit Set: Plana</x:v>
      </x:c>
      <x:c r="E98" s="11" t="str">
        <x:v>具体型号、制造主体、交付规格、材料与尺寸；未知字段保留。</x:v>
      </x:c>
      <x:c r="F98" s="11" t="str">
        <x:v>https://www.goodsmile.com/en/product/1141872</x:v>
      </x:c>
      <x:c r="G98" s="11" t="str">
        <x:v>2026-10-05</x:v>
      </x:c>
      <x:c r="H98" s="11" t="str">
        <x:v>gsc-doll-1141872</x:v>
      </x:c>
    </x:row>
    <x:row r="99" ht="72" customHeight="1">
      <x:c r="A99" s="11" t="str">
        <x:v>黏土人偶 玛奇玛</x:v>
      </x:c>
      <x:c r="B99" s="11" t="str">
        <x:v>主来源</x:v>
      </x:c>
      <x:c r="C99" s="11" t="str">
        <x:v>官方产品页</x:v>
      </x:c>
      <x:c r="D99" s="11" t="str">
        <x:v>Nendoroid Doll Makima</x:v>
      </x:c>
      <x:c r="E99" s="11" t="str">
        <x:v>具体型号、制造主体、交付规格、材料与尺寸；未知字段保留。</x:v>
      </x:c>
      <x:c r="F99" s="11" t="str">
        <x:v>https://www.goodsmile.com/en/product/1142519</x:v>
      </x:c>
      <x:c r="G99" s="11" t="str">
        <x:v>2026-10-05</x:v>
      </x:c>
      <x:c r="H99" s="11" t="str">
        <x:v>gsc-doll-1142519</x:v>
      </x:c>
    </x:row>
    <x:row r="100" ht="72" customHeight="1">
      <x:c r="A100" s="11" t="str">
        <x:v>黏土人偶服装: 玛奇玛</x:v>
      </x:c>
      <x:c r="B100" s="11" t="str">
        <x:v>主来源</x:v>
      </x:c>
      <x:c r="C100" s="11" t="str">
        <x:v>官方产品页</x:v>
      </x:c>
      <x:c r="D100" s="11" t="str">
        <x:v>Nendoroid Doll Outfit Set: Makima</x:v>
      </x:c>
      <x:c r="E100" s="11" t="str">
        <x:v>具体型号、制造主体、交付规格、材料与尺寸；未知字段保留。</x:v>
      </x:c>
      <x:c r="F100" s="11" t="str">
        <x:v>https://www.goodsmile.com/en/product/1142520</x:v>
      </x:c>
      <x:c r="G100" s="11" t="str">
        <x:v>2026-10-05</x:v>
      </x:c>
      <x:c r="H100" s="11" t="str">
        <x:v>gsc-doll-1142520</x:v>
      </x:c>
    </x:row>
    <x:row r="101" ht="72" customHeight="1">
      <x:c r="A101" s="11" t="str">
        <x:v>黏土人偶 Yuta Okkotsu: Execution Ver.</x:v>
      </x:c>
      <x:c r="B101" s="11" t="str">
        <x:v>主来源</x:v>
      </x:c>
      <x:c r="C101" s="11" t="str">
        <x:v>官方产品页</x:v>
      </x:c>
      <x:c r="D101" s="11" t="str">
        <x:v>Nendoroid Doll Yuta Okkotsu: Execution Ver.</x:v>
      </x:c>
      <x:c r="E101" s="11" t="str">
        <x:v>具体型号、制造主体、交付规格、材料与尺寸；未知字段保留。</x:v>
      </x:c>
      <x:c r="F101" s="11" t="str">
        <x:v>https://www.goodsmile.com/en/product/1142649</x:v>
      </x:c>
      <x:c r="G101" s="11" t="str">
        <x:v>2026-10-05</x:v>
      </x:c>
      <x:c r="H101" s="11" t="str">
        <x:v>gsc-doll-1142649</x:v>
      </x:c>
    </x:row>
    <x:row r="102" ht="72" customHeight="1">
      <x:c r="A102" s="11" t="str">
        <x:v>黏土人偶服装: Yuta Okkotsu: Execution Ver.</x:v>
      </x:c>
      <x:c r="B102" s="11" t="str">
        <x:v>主来源</x:v>
      </x:c>
      <x:c r="C102" s="11" t="str">
        <x:v>官方产品页</x:v>
      </x:c>
      <x:c r="D102" s="11" t="str">
        <x:v>Nendoroid Doll Outfit Set: Yuta Okkotsu: Execution Ver.</x:v>
      </x:c>
      <x:c r="E102" s="11" t="str">
        <x:v>具体型号、制造主体、交付规格、材料与尺寸；未知字段保留。</x:v>
      </x:c>
      <x:c r="F102" s="11" t="str">
        <x:v>https://www.goodsmile.com/en/product/1142650</x:v>
      </x:c>
      <x:c r="G102" s="11" t="str">
        <x:v>2026-10-05</x:v>
      </x:c>
      <x:c r="H102" s="11" t="str">
        <x:v>gsc-doll-1142650</x:v>
      </x:c>
    </x:row>
    <x:row r="103" ht="72" customHeight="1">
      <x:c r="A103" s="11" t="str">
        <x:v>黏土人偶 Jinshi</x:v>
      </x:c>
      <x:c r="B103" s="11" t="str">
        <x:v>主来源</x:v>
      </x:c>
      <x:c r="C103" s="11" t="str">
        <x:v>官方产品页</x:v>
      </x:c>
      <x:c r="D103" s="11" t="str">
        <x:v>Nendoroid Doll Jinshi</x:v>
      </x:c>
      <x:c r="E103" s="11" t="str">
        <x:v>具体型号、制造主体、交付规格、材料与尺寸；未知字段保留。</x:v>
      </x:c>
      <x:c r="F103" s="11" t="str">
        <x:v>https://www.goodsmile.com/en/product/1142194</x:v>
      </x:c>
      <x:c r="G103" s="11" t="str">
        <x:v>2026-10-05</x:v>
      </x:c>
      <x:c r="H103" s="11" t="str">
        <x:v>gsc-doll-1142194</x:v>
      </x:c>
    </x:row>
    <x:row r="104" ht="72" customHeight="1">
      <x:c r="A104" s="11" t="str">
        <x:v>黏土人偶服装: Jinshi</x:v>
      </x:c>
      <x:c r="B104" s="11" t="str">
        <x:v>主来源</x:v>
      </x:c>
      <x:c r="C104" s="11" t="str">
        <x:v>官方产品页</x:v>
      </x:c>
      <x:c r="D104" s="11" t="str">
        <x:v>Nendoroid Doll Outfit Set: Jinshi</x:v>
      </x:c>
      <x:c r="E104" s="11" t="str">
        <x:v>具体型号、制造主体、交付规格、材料与尺寸；未知字段保留。</x:v>
      </x:c>
      <x:c r="F104" s="11" t="str">
        <x:v>https://www.goodsmile.com/en/product/1142195</x:v>
      </x:c>
      <x:c r="G104" s="11" t="str">
        <x:v>2026-10-05</x:v>
      </x:c>
      <x:c r="H104" s="11" t="str">
        <x:v>gsc-doll-1142195</x:v>
      </x:c>
    </x:row>
    <x:row r="105" ht="72" customHeight="1">
      <x:c r="A105" s="11" t="str">
        <x:v>黏土人偶 England</x:v>
      </x:c>
      <x:c r="B105" s="11" t="str">
        <x:v>主来源</x:v>
      </x:c>
      <x:c r="C105" s="11" t="str">
        <x:v>官方产品页</x:v>
      </x:c>
      <x:c r="D105" s="11" t="str">
        <x:v>Nendoroid Doll England</x:v>
      </x:c>
      <x:c r="E105" s="11" t="str">
        <x:v>具体型号、制造主体、交付规格、材料与尺寸；未知字段保留。</x:v>
      </x:c>
      <x:c r="F105" s="11" t="str">
        <x:v>https://www.goodsmile.com/en/product/1142502</x:v>
      </x:c>
      <x:c r="G105" s="11" t="str">
        <x:v>2026-10-05</x:v>
      </x:c>
      <x:c r="H105" s="11" t="str">
        <x:v>gsc-doll-1142502</x:v>
      </x:c>
    </x:row>
    <x:row r="106" ht="72" customHeight="1">
      <x:c r="A106" s="11" t="str">
        <x:v>黏土人偶服装: England</x:v>
      </x:c>
      <x:c r="B106" s="11" t="str">
        <x:v>主来源</x:v>
      </x:c>
      <x:c r="C106" s="11" t="str">
        <x:v>官方产品页</x:v>
      </x:c>
      <x:c r="D106" s="11" t="str">
        <x:v>Nendoroid Doll Outfit Set: England</x:v>
      </x:c>
      <x:c r="E106" s="11" t="str">
        <x:v>具体型号、制造主体、交付规格、材料与尺寸；未知字段保留。</x:v>
      </x:c>
      <x:c r="F106" s="11" t="str">
        <x:v>https://www.goodsmile.com/en/product/1142503</x:v>
      </x:c>
      <x:c r="G106" s="11" t="str">
        <x:v>2026-10-05</x:v>
      </x:c>
      <x:c r="H106" s="11" t="str">
        <x:v>gsc-doll-1142503</x:v>
      </x:c>
    </x:row>
    <x:row r="107" ht="72" customHeight="1">
      <x:c r="A107" s="11" t="str">
        <x:v>黏土人偶 Aki Hayakawa</x:v>
      </x:c>
      <x:c r="B107" s="11" t="str">
        <x:v>主来源</x:v>
      </x:c>
      <x:c r="C107" s="11" t="str">
        <x:v>官方产品页</x:v>
      </x:c>
      <x:c r="D107" s="11" t="str">
        <x:v>Nendoroid Doll Aki Hayakawa</x:v>
      </x:c>
      <x:c r="E107" s="11" t="str">
        <x:v>具体型号、制造主体、交付规格、材料与尺寸；未知字段保留。</x:v>
      </x:c>
      <x:c r="F107" s="11" t="str">
        <x:v>https://www.goodsmile.com/en/product/1142517</x:v>
      </x:c>
      <x:c r="G107" s="11" t="str">
        <x:v>2026-10-05</x:v>
      </x:c>
      <x:c r="H107" s="11" t="str">
        <x:v>gsc-doll-1142517</x:v>
      </x:c>
    </x:row>
    <x:row r="108" ht="72" customHeight="1">
      <x:c r="A108" s="11" t="str">
        <x:v>黏土人偶服装: Aki Hayakawa</x:v>
      </x:c>
      <x:c r="B108" s="11" t="str">
        <x:v>主来源</x:v>
      </x:c>
      <x:c r="C108" s="11" t="str">
        <x:v>官方产品页</x:v>
      </x:c>
      <x:c r="D108" s="11" t="str">
        <x:v>Nendoroid Doll Outfit Set: Aki Hayakawa</x:v>
      </x:c>
      <x:c r="E108" s="11" t="str">
        <x:v>具体型号、制造主体、交付规格、材料与尺寸；未知字段保留。</x:v>
      </x:c>
      <x:c r="F108" s="11" t="str">
        <x:v>https://www.goodsmile.com/en/product/1142518</x:v>
      </x:c>
      <x:c r="G108" s="11" t="str">
        <x:v>2026-10-05</x:v>
      </x:c>
      <x:c r="H108" s="11" t="str">
        <x:v>gsc-doll-1142518</x:v>
      </x:c>
    </x:row>
    <x:row r="109" ht="72" customHeight="1">
      <x:c r="A109" s="11" t="str">
        <x:v>黏土人偶 Goro Akechi: School Uniform Ver.</x:v>
      </x:c>
      <x:c r="B109" s="11" t="str">
        <x:v>主来源</x:v>
      </x:c>
      <x:c r="C109" s="11" t="str">
        <x:v>官方产品页</x:v>
      </x:c>
      <x:c r="D109" s="11" t="str">
        <x:v>Nendoroid Doll Goro Akechi: School Uniform Ver.</x:v>
      </x:c>
      <x:c r="E109" s="11" t="str">
        <x:v>具体型号、制造主体、交付规格、材料与尺寸；未知字段保留。</x:v>
      </x:c>
      <x:c r="F109" s="11" t="str">
        <x:v>https://www.goodsmile.com/en/product/1142666</x:v>
      </x:c>
      <x:c r="G109" s="11" t="str">
        <x:v>2026-10-05</x:v>
      </x:c>
      <x:c r="H109" s="11" t="str">
        <x:v>gsc-doll-1142666</x:v>
      </x:c>
    </x:row>
    <x:row r="110" ht="72" customHeight="1">
      <x:c r="A110" s="11" t="str">
        <x:v>黏土人偶服装: Goro Akechi - School Uniform Ver.</x:v>
      </x:c>
      <x:c r="B110" s="11" t="str">
        <x:v>主来源</x:v>
      </x:c>
      <x:c r="C110" s="11" t="str">
        <x:v>官方产品页</x:v>
      </x:c>
      <x:c r="D110" s="11" t="str">
        <x:v>Nendoroid Doll Outfit Set: Goro Akechi - School Uniform Ver.</x:v>
      </x:c>
      <x:c r="E110" s="11" t="str">
        <x:v>具体型号、制造主体、交付规格、材料与尺寸；未知字段保留。</x:v>
      </x:c>
      <x:c r="F110" s="11" t="str">
        <x:v>https://www.goodsmile.com/en/product/1142667</x:v>
      </x:c>
      <x:c r="G110" s="11" t="str">
        <x:v>2026-10-05</x:v>
      </x:c>
      <x:c r="H110" s="11" t="str">
        <x:v>gsc-doll-1142667</x:v>
      </x:c>
    </x:row>
    <x:row r="111" ht="72" customHeight="1">
      <x:c r="A111" s="11" t="str">
        <x:v>黏土人偶 Yui Hirasawa</x:v>
      </x:c>
      <x:c r="B111" s="11" t="str">
        <x:v>主来源</x:v>
      </x:c>
      <x:c r="C111" s="11" t="str">
        <x:v>官方产品页</x:v>
      </x:c>
      <x:c r="D111" s="11" t="str">
        <x:v>Nendoroid Doll Yui Hirasawa</x:v>
      </x:c>
      <x:c r="E111" s="11" t="str">
        <x:v>具体型号、制造主体、交付规格、材料与尺寸；未知字段保留。</x:v>
      </x:c>
      <x:c r="F111" s="11" t="str">
        <x:v>https://www.goodsmile.com/en/product/1142843</x:v>
      </x:c>
      <x:c r="G111" s="11" t="str">
        <x:v>2026-10-05</x:v>
      </x:c>
      <x:c r="H111" s="11" t="str">
        <x:v>gsc-doll-1142843</x:v>
      </x:c>
    </x:row>
    <x:row r="112" ht="72" customHeight="1">
      <x:c r="A112" s="11" t="str">
        <x:v>黏土人偶服装: Yui Hirasawa</x:v>
      </x:c>
      <x:c r="B112" s="11" t="str">
        <x:v>主来源</x:v>
      </x:c>
      <x:c r="C112" s="11" t="str">
        <x:v>官方产品页</x:v>
      </x:c>
      <x:c r="D112" s="11" t="str">
        <x:v>Nendoroid Doll Outfit Set: Yui Hirasawa</x:v>
      </x:c>
      <x:c r="E112" s="11" t="str">
        <x:v>具体型号、制造主体、交付规格、材料与尺寸；未知字段保留。</x:v>
      </x:c>
      <x:c r="F112" s="11" t="str">
        <x:v>https://www.goodsmile.com/en/product/1142844</x:v>
      </x:c>
      <x:c r="G112" s="11" t="str">
        <x:v>2026-10-05</x:v>
      </x:c>
      <x:c r="H112" s="11" t="str">
        <x:v>gsc-doll-1142844</x:v>
      </x:c>
    </x:row>
    <x:row r="113" ht="72" customHeight="1">
      <x:c r="A113" s="11" t="str">
        <x:v>黏土人偶 America</x:v>
      </x:c>
      <x:c r="B113" s="11" t="str">
        <x:v>主来源</x:v>
      </x:c>
      <x:c r="C113" s="11" t="str">
        <x:v>官方产品页</x:v>
      </x:c>
      <x:c r="D113" s="11" t="str">
        <x:v>Nendoroid Doll America</x:v>
      </x:c>
      <x:c r="E113" s="11" t="str">
        <x:v>具体型号、制造主体、交付规格、材料与尺寸；未知字段保留。</x:v>
      </x:c>
      <x:c r="F113" s="11" t="str">
        <x:v>https://www.goodsmile.com/en/product/1142500</x:v>
      </x:c>
      <x:c r="G113" s="11" t="str">
        <x:v>2026-10-05</x:v>
      </x:c>
      <x:c r="H113" s="11" t="str">
        <x:v>gsc-doll-1142500</x:v>
      </x:c>
    </x:row>
    <x:row r="114" ht="72" customHeight="1">
      <x:c r="A114" s="11" t="str">
        <x:v>黏土人偶服装: America</x:v>
      </x:c>
      <x:c r="B114" s="11" t="str">
        <x:v>主来源</x:v>
      </x:c>
      <x:c r="C114" s="11" t="str">
        <x:v>官方产品页</x:v>
      </x:c>
      <x:c r="D114" s="11" t="str">
        <x:v>Nendoroid Doll Outfit Set: America</x:v>
      </x:c>
      <x:c r="E114" s="11" t="str">
        <x:v>具体型号、制造主体、交付规格、材料与尺寸；未知字段保留。</x:v>
      </x:c>
      <x:c r="F114" s="11" t="str">
        <x:v>https://www.goodsmile.com/en/product/1142501</x:v>
      </x:c>
      <x:c r="G114" s="11" t="str">
        <x:v>2026-10-05</x:v>
      </x:c>
      <x:c r="H114" s="11" t="str">
        <x:v>gsc-doll-1142501</x:v>
      </x:c>
    </x:row>
    <x:row r="115" ht="72" customHeight="1">
      <x:c r="A115" s="11" t="str">
        <x:v>黏土人偶 Sakura Kinomoto: Costume Ver.</x:v>
      </x:c>
      <x:c r="B115" s="11" t="str">
        <x:v>主来源</x:v>
      </x:c>
      <x:c r="C115" s="11" t="str">
        <x:v>官方产品页</x:v>
      </x:c>
      <x:c r="D115" s="11" t="str">
        <x:v>Nendoroid Doll Sakura Kinomoto: Costume Ver.</x:v>
      </x:c>
      <x:c r="E115" s="11" t="str">
        <x:v>具体型号、制造主体、交付规格、材料与尺寸；未知字段保留。</x:v>
      </x:c>
      <x:c r="F115" s="11" t="str">
        <x:v>https://www.goodsmile.com/en/product/1140621</x:v>
      </x:c>
      <x:c r="G115" s="11" t="str">
        <x:v>2026-10-05</x:v>
      </x:c>
      <x:c r="H115" s="11" t="str">
        <x:v>gsc-doll-1140621</x:v>
      </x:c>
    </x:row>
    <x:row r="116" ht="72" customHeight="1">
      <x:c r="A116" s="11" t="str">
        <x:v>黏土人偶服装: Sakura Kinomoto: Costume Ver.</x:v>
      </x:c>
      <x:c r="B116" s="11" t="str">
        <x:v>主来源</x:v>
      </x:c>
      <x:c r="C116" s="11" t="str">
        <x:v>官方产品页</x:v>
      </x:c>
      <x:c r="D116" s="11" t="str">
        <x:v>Nendoroid Doll Outfit Set: Sakura Kinomoto: Costume Ver.</x:v>
      </x:c>
      <x:c r="E116" s="11" t="str">
        <x:v>具体型号、制造主体、交付规格、材料与尺寸；未知字段保留。</x:v>
      </x:c>
      <x:c r="F116" s="11" t="str">
        <x:v>https://www.goodsmile.com/en/product/1140622</x:v>
      </x:c>
      <x:c r="G116" s="11" t="str">
        <x:v>2026-10-05</x:v>
      </x:c>
      <x:c r="H116" s="11" t="str">
        <x:v>gsc-doll-1140622</x:v>
      </x:c>
    </x:row>
    <x:row r="117" ht="72" customHeight="1">
      <x:c r="A117" s="11" t="str">
        <x:v>黏土人偶 初音未来: ∞ Ver.</x:v>
      </x:c>
      <x:c r="B117" s="11" t="str">
        <x:v>主来源</x:v>
      </x:c>
      <x:c r="C117" s="11" t="str">
        <x:v>官方产品页</x:v>
      </x:c>
      <x:c r="D117" s="11" t="str">
        <x:v>Nendoroid Doll Hatsune Miku: ∞ Ver.</x:v>
      </x:c>
      <x:c r="E117" s="11" t="str">
        <x:v>具体型号、制造主体、交付规格、材料与尺寸；未知字段保留。</x:v>
      </x:c>
      <x:c r="F117" s="11" t="str">
        <x:v>https://www.goodsmile.com/en/product/1141536</x:v>
      </x:c>
      <x:c r="G117" s="11" t="str">
        <x:v>2026-10-05</x:v>
      </x:c>
      <x:c r="H117" s="11" t="str">
        <x:v>gsc-doll-1141536</x:v>
      </x:c>
    </x:row>
    <x:row r="118" ht="72" customHeight="1">
      <x:c r="A118" s="11" t="str">
        <x:v>黏土人偶服装: 初音未来: ∞ Ver.</x:v>
      </x:c>
      <x:c r="B118" s="11" t="str">
        <x:v>主来源</x:v>
      </x:c>
      <x:c r="C118" s="11" t="str">
        <x:v>官方产品页</x:v>
      </x:c>
      <x:c r="D118" s="11" t="str">
        <x:v>Nendoroid Doll Outfit Set: Hatsune Miku: ∞ Ver.</x:v>
      </x:c>
      <x:c r="E118" s="11" t="str">
        <x:v>具体型号、制造主体、交付规格、材料与尺寸；未知字段保留。</x:v>
      </x:c>
      <x:c r="F118" s="11" t="str">
        <x:v>https://www.goodsmile.com/en/product/1141537</x:v>
      </x:c>
      <x:c r="G118" s="11" t="str">
        <x:v>2026-10-05</x:v>
      </x:c>
      <x:c r="H118" s="11" t="str">
        <x:v>gsc-doll-1141537</x:v>
      </x:c>
    </x:row>
    <x:row r="119" ht="72" customHeight="1">
      <x:c r="A119" s="11" t="str">
        <x:v>黏土人偶 Wing Parts Set</x:v>
      </x:c>
      <x:c r="B119" s="11" t="str">
        <x:v>主来源</x:v>
      </x:c>
      <x:c r="C119" s="11" t="str">
        <x:v>官方产品页</x:v>
      </x:c>
      <x:c r="D119" s="11" t="str">
        <x:v>Nendoroid Doll Wing Parts Set</x:v>
      </x:c>
      <x:c r="E119" s="11" t="str">
        <x:v>具体型号、制造主体、交付规格、材料与尺寸；未知字段保留。</x:v>
      </x:c>
      <x:c r="F119" s="11" t="str">
        <x:v>https://www.goodsmile.com/en/product/1141744</x:v>
      </x:c>
      <x:c r="G119" s="11" t="str">
        <x:v>2026-10-05</x:v>
      </x:c>
      <x:c r="H119" s="11" t="str">
        <x:v>gsc-doll-1141744</x:v>
      </x:c>
    </x:row>
    <x:row r="120" ht="72" customHeight="1">
      <x:c r="A120" s="11" t="str">
        <x:v>黏土人偶 Ciel Phantomhive</x:v>
      </x:c>
      <x:c r="B120" s="11" t="str">
        <x:v>主来源</x:v>
      </x:c>
      <x:c r="C120" s="11" t="str">
        <x:v>官方产品页</x:v>
      </x:c>
      <x:c r="D120" s="11" t="str">
        <x:v>Nendoroid Doll Ciel Phantomhive</x:v>
      </x:c>
      <x:c r="E120" s="11" t="str">
        <x:v>具体型号、制造主体、交付规格、材料与尺寸；未知字段保留。</x:v>
      </x:c>
      <x:c r="F120" s="11" t="str">
        <x:v>https://www.goodsmile.com/en/product/9723</x:v>
      </x:c>
      <x:c r="G120" s="11" t="str">
        <x:v>2026-10-05</x:v>
      </x:c>
      <x:c r="H120" s="11" t="str">
        <x:v>gsc-doll-9723</x:v>
      </x:c>
    </x:row>
    <x:row r="121" ht="72" customHeight="1">
      <x:c r="A121" s="11" t="str">
        <x:v>黏土人偶 Sebastian Michaelis</x:v>
      </x:c>
      <x:c r="B121" s="11" t="str">
        <x:v>主来源</x:v>
      </x:c>
      <x:c r="C121" s="11" t="str">
        <x:v>官方产品页</x:v>
      </x:c>
      <x:c r="D121" s="11" t="str">
        <x:v>Nendoroid Doll Sebastian Michaelis</x:v>
      </x:c>
      <x:c r="E121" s="11" t="str">
        <x:v>具体型号、制造主体、交付规格、材料与尺寸；未知字段保留。</x:v>
      </x:c>
      <x:c r="F121" s="11" t="str">
        <x:v>https://www.goodsmile.com/en/product/9725</x:v>
      </x:c>
      <x:c r="G121" s="11" t="str">
        <x:v>2026-10-05</x:v>
      </x:c>
      <x:c r="H121" s="11" t="str">
        <x:v>gsc-doll-9725</x:v>
      </x:c>
    </x:row>
    <x:row r="122" ht="72" customHeight="1">
      <x:c r="A122" s="11" t="str">
        <x:v>黏土人偶 Chocola</x:v>
      </x:c>
      <x:c r="B122" s="11" t="str">
        <x:v>主来源</x:v>
      </x:c>
      <x:c r="C122" s="11" t="str">
        <x:v>官方产品页</x:v>
      </x:c>
      <x:c r="D122" s="11" t="str">
        <x:v>Nendoroid Doll Chocola</x:v>
      </x:c>
      <x:c r="E122" s="11" t="str">
        <x:v>具体型号、制造主体、交付规格、材料与尺寸；未知字段保留。</x:v>
      </x:c>
      <x:c r="F122" s="11" t="str">
        <x:v>https://www.goodsmile.com/en/product/1140127</x:v>
      </x:c>
      <x:c r="G122" s="11" t="str">
        <x:v>2026-10-05</x:v>
      </x:c>
      <x:c r="H122" s="11" t="str">
        <x:v>gsc-doll-1140127</x:v>
      </x:c>
    </x:row>
    <x:row r="123" ht="72" customHeight="1">
      <x:c r="A123" s="11" t="str">
        <x:v>黏土人偶服装: Chocola</x:v>
      </x:c>
      <x:c r="B123" s="11" t="str">
        <x:v>主来源</x:v>
      </x:c>
      <x:c r="C123" s="11" t="str">
        <x:v>官方产品页</x:v>
      </x:c>
      <x:c r="D123" s="11" t="str">
        <x:v>Nendoroid Doll Outfit Set: Chocola</x:v>
      </x:c>
      <x:c r="E123" s="11" t="str">
        <x:v>具体型号、制造主体、交付规格、材料与尺寸；未知字段保留。</x:v>
      </x:c>
      <x:c r="F123" s="11" t="str">
        <x:v>https://www.goodsmile.com/en/product/1140128</x:v>
      </x:c>
      <x:c r="G123" s="11" t="str">
        <x:v>2026-10-05</x:v>
      </x:c>
      <x:c r="H123" s="11" t="str">
        <x:v>gsc-doll-1140128</x:v>
      </x:c>
    </x:row>
    <x:row r="124" ht="72" customHeight="1">
      <x:c r="A124" s="11" t="str">
        <x:v>黏土人偶 Vanilla</x:v>
      </x:c>
      <x:c r="B124" s="11" t="str">
        <x:v>主来源</x:v>
      </x:c>
      <x:c r="C124" s="11" t="str">
        <x:v>官方产品页</x:v>
      </x:c>
      <x:c r="D124" s="11" t="str">
        <x:v>Nendoroid Doll Vanilla</x:v>
      </x:c>
      <x:c r="E124" s="11" t="str">
        <x:v>具体型号、制造主体、交付规格、材料与尺寸；未知字段保留。</x:v>
      </x:c>
      <x:c r="F124" s="11" t="str">
        <x:v>https://www.goodsmile.com/en/product/1140129</x:v>
      </x:c>
      <x:c r="G124" s="11" t="str">
        <x:v>2026-10-05</x:v>
      </x:c>
      <x:c r="H124" s="11" t="str">
        <x:v>gsc-doll-1140129</x:v>
      </x:c>
    </x:row>
    <x:row r="125" ht="72" customHeight="1">
      <x:c r="A125" s="11" t="str">
        <x:v>黏土人偶服装: Vanilla</x:v>
      </x:c>
      <x:c r="B125" s="11" t="str">
        <x:v>主来源</x:v>
      </x:c>
      <x:c r="C125" s="11" t="str">
        <x:v>官方产品页</x:v>
      </x:c>
      <x:c r="D125" s="11" t="str">
        <x:v>Nendoroid Doll Outfit Set: Vanilla</x:v>
      </x:c>
      <x:c r="E125" s="11" t="str">
        <x:v>具体型号、制造主体、交付规格、材料与尺寸；未知字段保留。</x:v>
      </x:c>
      <x:c r="F125" s="11" t="str">
        <x:v>https://www.goodsmile.com/en/product/1140130</x:v>
      </x:c>
      <x:c r="G125" s="11" t="str">
        <x:v>2026-10-05</x:v>
      </x:c>
      <x:c r="H125" s="11" t="str">
        <x:v>gsc-doll-1140130</x:v>
      </x:c>
    </x:row>
    <x:row r="126" ht="72" customHeight="1">
      <x:c r="A126" s="11" t="str">
        <x:v>黏土人偶 Picnic Parts Set</x:v>
      </x:c>
      <x:c r="B126" s="11" t="str">
        <x:v>主来源</x:v>
      </x:c>
      <x:c r="C126" s="11" t="str">
        <x:v>官方产品页</x:v>
      </x:c>
      <x:c r="D126" s="11" t="str">
        <x:v>Nendoroid Doll Picnic Parts Set</x:v>
      </x:c>
      <x:c r="E126" s="11" t="str">
        <x:v>具体型号、制造主体、交付规格、材料与尺寸；未知字段保留。</x:v>
      </x:c>
      <x:c r="F126" s="11" t="str">
        <x:v>https://www.goodsmile.com/en/product/1143950</x:v>
      </x:c>
      <x:c r="G126" s="11" t="str">
        <x:v>2026-10-05</x:v>
      </x:c>
      <x:c r="H126" s="11" t="str">
        <x:v>gsc-doll-1143950</x:v>
      </x:c>
    </x:row>
    <x:row r="127" ht="72" customHeight="1">
      <x:c r="A127" s="11" t="str">
        <x:v>黏土人偶 Saber: Casual Outfit Ver.</x:v>
      </x:c>
      <x:c r="B127" s="11" t="str">
        <x:v>主来源</x:v>
      </x:c>
      <x:c r="C127" s="11" t="str">
        <x:v>官方产品页</x:v>
      </x:c>
      <x:c r="D127" s="11" t="str">
        <x:v>Nendoroid Doll Saber: Casual Outfit Ver.</x:v>
      </x:c>
      <x:c r="E127" s="11" t="str">
        <x:v>具体型号、制造主体、交付规格、材料与尺寸；未知字段保留。</x:v>
      </x:c>
      <x:c r="F127" s="11" t="str">
        <x:v>https://www.goodsmile.com/en/product/1142290</x:v>
      </x:c>
      <x:c r="G127" s="11" t="str">
        <x:v>2026-10-05</x:v>
      </x:c>
      <x:c r="H127" s="11" t="str">
        <x:v>gsc-doll-1142290</x:v>
      </x:c>
    </x:row>
    <x:row r="128" ht="72" customHeight="1">
      <x:c r="A128" s="11" t="str">
        <x:v>黏土人偶服装: Saber - Casual Outfit Ver.</x:v>
      </x:c>
      <x:c r="B128" s="11" t="str">
        <x:v>主来源</x:v>
      </x:c>
      <x:c r="C128" s="11" t="str">
        <x:v>官方产品页</x:v>
      </x:c>
      <x:c r="D128" s="11" t="str">
        <x:v>Nendoroid Doll Outfit Set: Saber - Casual Outfit Ver.</x:v>
      </x:c>
      <x:c r="E128" s="11" t="str">
        <x:v>具体型号、制造主体、交付规格、材料与尺寸；未知字段保留。</x:v>
      </x:c>
      <x:c r="F128" s="11" t="str">
        <x:v>https://www.goodsmile.com/en/product/1142291</x:v>
      </x:c>
      <x:c r="G128" s="11" t="str">
        <x:v>2026-10-05</x:v>
      </x:c>
      <x:c r="H128" s="11" t="str">
        <x:v>gsc-doll-1142291</x:v>
      </x:c>
    </x:row>
    <x:row r="129" ht="72" customHeight="1">
      <x:c r="A129" s="11" t="str">
        <x:v>Near Harmonia Sentimental Circus.</x:v>
      </x:c>
      <x:c r="B129" s="11" t="str">
        <x:v>主来源</x:v>
      </x:c>
      <x:c r="C129" s="11" t="str">
        <x:v>官方产品页</x:v>
      </x:c>
      <x:c r="D129" s="11" t="str">
        <x:v>Near Harmonia Sentimental Circus.</x:v>
      </x:c>
      <x:c r="E129" s="11" t="str">
        <x:v>具体型号、制造主体、交付规格、材料与尺寸；未知字段保留。</x:v>
      </x:c>
      <x:c r="F129" s="11" t="str">
        <x:v>https://www.goodsmile.com/en/product/60764</x:v>
      </x:c>
      <x:c r="G129" s="11" t="str">
        <x:v>2026-10-05</x:v>
      </x:c>
      <x:c r="H129" s="11" t="str">
        <x:v>gsc-harmonia-60764</x:v>
      </x:c>
    </x:row>
    <x:row r="130" ht="72" customHeight="1">
      <x:c r="A130" s="11" t="str">
        <x:v>Near Harmonia Ebiten no Shippo: Idol Ver. From Sumikkogurashi / Ebifurai no Shippo: Idol Ver. From Sumikkogurashi</x:v>
      </x:c>
      <x:c r="B130" s="11" t="str">
        <x:v>主来源</x:v>
      </x:c>
      <x:c r="C130" s="11" t="str">
        <x:v>官方产品页</x:v>
      </x:c>
      <x:c r="D130" s="11" t="str">
        <x:v>Near Harmonia Ebiten no Shippo: Idol Ver. From Sumikkogurashi / Ebifurai no Shippo: Idol Ver. From Sumikkogurashi</x:v>
      </x:c>
      <x:c r="E130" s="11" t="str">
        <x:v>具体型号、制造主体、交付规格、材料与尺寸；未知字段保留。</x:v>
      </x:c>
      <x:c r="F130" s="11" t="str">
        <x:v>https://www.goodsmile.com/en/product/60765</x:v>
      </x:c>
      <x:c r="G130" s="11" t="str">
        <x:v>2026-10-05</x:v>
      </x:c>
      <x:c r="H130" s="11" t="str">
        <x:v>gsc-harmonia-60765</x:v>
      </x:c>
    </x:row>
    <x:row r="131" ht="72" customHeight="1">
      <x:c r="A131" s="11" t="str">
        <x:v>Near Harmonia Modoria/Lavina/Poppy</x:v>
      </x:c>
      <x:c r="B131" s="11" t="str">
        <x:v>主来源</x:v>
      </x:c>
      <x:c r="C131" s="11" t="str">
        <x:v>官方产品页</x:v>
      </x:c>
      <x:c r="D131" s="11" t="str">
        <x:v>Near Harmonia Modoria/Lavina/Poppy</x:v>
      </x:c>
      <x:c r="E131" s="11" t="str">
        <x:v>具体型号、制造主体、交付规格、材料与尺寸；未知字段保留。</x:v>
      </x:c>
      <x:c r="F131" s="11" t="str">
        <x:v>https://www.goodsmile.com/en/product/1136213</x:v>
      </x:c>
      <x:c r="G131" s="11" t="str">
        <x:v>2026-10-05</x:v>
      </x:c>
      <x:c r="H131" s="11" t="str">
        <x:v>gsc-harmonia-1136213</x:v>
      </x:c>
    </x:row>
    <x:row r="132" ht="72" customHeight="1">
      <x:c r="A132" s="11" t="str">
        <x:v>Near Harmonia Potato from Pui Pui Molcar</x:v>
      </x:c>
      <x:c r="B132" s="11" t="str">
        <x:v>主来源</x:v>
      </x:c>
      <x:c r="C132" s="11" t="str">
        <x:v>官方产品页</x:v>
      </x:c>
      <x:c r="D132" s="11" t="str">
        <x:v>Near Harmonia Potato from Pui Pui Molcar</x:v>
      </x:c>
      <x:c r="E132" s="11" t="str">
        <x:v>具体型号、制造主体、交付规格、材料与尺寸；未知字段保留。</x:v>
      </x:c>
      <x:c r="F132" s="11" t="str">
        <x:v>https://www.goodsmile.com/en/product/55924</x:v>
      </x:c>
      <x:c r="G132" s="11" t="str">
        <x:v>2026-10-05</x:v>
      </x:c>
      <x:c r="H132" s="11" t="str">
        <x:v>gsc-harmonia-55924</x:v>
      </x:c>
    </x:row>
    <x:row r="133" ht="72" customHeight="1">
      <x:c r="A133" s="11" t="str">
        <x:v>Near Harmonia Shiromo from Pui Pui Molcar</x:v>
      </x:c>
      <x:c r="B133" s="11" t="str">
        <x:v>主来源</x:v>
      </x:c>
      <x:c r="C133" s="11" t="str">
        <x:v>官方产品页</x:v>
      </x:c>
      <x:c r="D133" s="11" t="str">
        <x:v>Near Harmonia Shiromo from Pui Pui Molcar</x:v>
      </x:c>
      <x:c r="E133" s="11" t="str">
        <x:v>具体型号、制造主体、交付规格、材料与尺寸；未知字段保留。</x:v>
      </x:c>
      <x:c r="F133" s="11" t="str">
        <x:v>https://www.goodsmile.com/en/product/55925</x:v>
      </x:c>
      <x:c r="G133" s="11" t="str">
        <x:v>2026-10-05</x:v>
      </x:c>
      <x:c r="H133" s="11" t="str">
        <x:v>gsc-harmonia-55925</x:v>
      </x:c>
    </x:row>
    <x:row r="134" ht="72" customHeight="1">
      <x:c r="A134" s="11" t="str">
        <x:v>Near Harmonia Curious/Chatty/Mellow</x:v>
      </x:c>
      <x:c r="B134" s="11" t="str">
        <x:v>主来源</x:v>
      </x:c>
      <x:c r="C134" s="11" t="str">
        <x:v>官方产品页</x:v>
      </x:c>
      <x:c r="D134" s="11" t="str">
        <x:v>Near Harmonia Curious/Chatty/Mellow</x:v>
      </x:c>
      <x:c r="E134" s="11" t="str">
        <x:v>具体型号、制造主体、交付规格、材料与尺寸；未知字段保留。</x:v>
      </x:c>
      <x:c r="F134" s="11" t="str">
        <x:v>https://www.goodsmile.com/en/product/60130</x:v>
      </x:c>
      <x:c r="G134" s="11" t="str">
        <x:v>2026-10-05</x:v>
      </x:c>
      <x:c r="H134" s="11" t="str">
        <x:v>gsc-harmonia-60130</x:v>
      </x:c>
    </x:row>
    <x:row r="135" ht="72" customHeight="1">
      <x:c r="A135" s="11" t="str">
        <x:v>Harmonia humming 雪初音</x:v>
      </x:c>
      <x:c r="B135" s="11" t="str">
        <x:v>主来源</x:v>
      </x:c>
      <x:c r="C135" s="11" t="str">
        <x:v>官方产品页</x:v>
      </x:c>
      <x:c r="D135" s="11" t="str">
        <x:v>Harmonia humming Snow Miku</x:v>
      </x:c>
      <x:c r="E135" s="11" t="str">
        <x:v>具体型号、制造主体、交付规格、材料与尺寸；未知字段保留。</x:v>
      </x:c>
      <x:c r="F135" s="11" t="str">
        <x:v>https://www.goodsmile.com/en/product/45955</x:v>
      </x:c>
      <x:c r="G135" s="11" t="str">
        <x:v>2026-10-05</x:v>
      </x:c>
      <x:c r="H135" s="11" t="str">
        <x:v>gsc-harmonia-45955</x:v>
      </x:c>
    </x:row>
    <x:row r="136" ht="72" customHeight="1">
      <x:c r="A136" s="11" t="str">
        <x:v>Harmonia bloom Pretender/Oberon: First Ascension</x:v>
      </x:c>
      <x:c r="B136" s="11" t="str">
        <x:v>主来源</x:v>
      </x:c>
      <x:c r="C136" s="11" t="str">
        <x:v>官方产品页</x:v>
      </x:c>
      <x:c r="D136" s="11" t="str">
        <x:v>Harmonia bloom Pretender/Oberon: First Ascension</x:v>
      </x:c>
      <x:c r="E136" s="11" t="str">
        <x:v>具体型号、制造主体、交付规格、材料与尺寸；未知字段保留。</x:v>
      </x:c>
      <x:c r="F136" s="11" t="str">
        <x:v>https://www.goodsmile.com/en/product/54164</x:v>
      </x:c>
      <x:c r="G136" s="11" t="str">
        <x:v>2026-10-05</x:v>
      </x:c>
      <x:c r="H136" s="11" t="str">
        <x:v>gsc-harmonia-54164</x:v>
      </x:c>
    </x:row>
    <x:row r="137" ht="72" customHeight="1">
      <x:c r="A137" s="11" t="str">
        <x:v>Harmonia bloom blooming doll root (Body/Sunrise）</x:v>
      </x:c>
      <x:c r="B137" s="11" t="str">
        <x:v>主来源</x:v>
      </x:c>
      <x:c r="C137" s="11" t="str">
        <x:v>官方产品页</x:v>
      </x:c>
      <x:c r="D137" s="11" t="str">
        <x:v>Harmonia bloom blooming doll root (Body/Sunrise）</x:v>
      </x:c>
      <x:c r="E137" s="11" t="str">
        <x:v>具体型号、制造主体、交付规格、材料与尺寸；未知字段保留。</x:v>
      </x:c>
      <x:c r="F137" s="11" t="str">
        <x:v>https://www.goodsmile.com/en/product/36197</x:v>
      </x:c>
      <x:c r="G137" s="11" t="str">
        <x:v>2026-10-05</x:v>
      </x:c>
      <x:c r="H137" s="11" t="str">
        <x:v>gsc-harmonia-36197</x:v>
      </x:c>
    </x:row>
    <x:row r="138" ht="72" customHeight="1">
      <x:c r="A138" s="11" t="str">
        <x:v>Harmonia bloom blooming doll root (Body/Sunset）</x:v>
      </x:c>
      <x:c r="B138" s="11" t="str">
        <x:v>主来源</x:v>
      </x:c>
      <x:c r="C138" s="11" t="str">
        <x:v>官方产品页</x:v>
      </x:c>
      <x:c r="D138" s="11" t="str">
        <x:v>Harmonia bloom blooming doll root (Body/Sunset）</x:v>
      </x:c>
      <x:c r="E138" s="11" t="str">
        <x:v>具体型号、制造主体、交付规格、材料与尺寸；未知字段保留。</x:v>
      </x:c>
      <x:c r="F138" s="11" t="str">
        <x:v>https://www.goodsmile.com/en/product/36198</x:v>
      </x:c>
      <x:c r="G138" s="11" t="str">
        <x:v>2026-10-05</x:v>
      </x:c>
      <x:c r="H138" s="11" t="str">
        <x:v>gsc-harmonia-36198</x:v>
      </x:c>
    </x:row>
    <x:row r="139" ht="72" customHeight="1">
      <x:c r="A139" s="11" t="str">
        <x:v>Harmonia bloom Special Outfit Series (bloom/root) Designed by babydo</x:v>
      </x:c>
      <x:c r="B139" s="11" t="str">
        <x:v>主来源</x:v>
      </x:c>
      <x:c r="C139" s="11" t="str">
        <x:v>官方产品页</x:v>
      </x:c>
      <x:c r="D139" s="11" t="str">
        <x:v>Harmonia bloom Special Outfit Series (bloom/root) Designed by babydo</x:v>
      </x:c>
      <x:c r="E139" s="11" t="str">
        <x:v>具体型号、制造主体、交付规格、材料与尺寸；未知字段保留。</x:v>
      </x:c>
      <x:c r="F139" s="11" t="str">
        <x:v>https://www.goodsmile.com/en/product/12310</x:v>
      </x:c>
      <x:c r="G139" s="11" t="str">
        <x:v>2026-10-05</x:v>
      </x:c>
      <x:c r="H139" s="11" t="str">
        <x:v>gsc-harmonia-12310</x:v>
      </x:c>
    </x:row>
    <x:row r="140" ht="72" customHeight="1">
      <x:c r="A140" s="11" t="str">
        <x:v>Harmonia bloom Make &amp; Body set root (Volker)</x:v>
      </x:c>
      <x:c r="B140" s="11" t="str">
        <x:v>主来源</x:v>
      </x:c>
      <x:c r="C140" s="11" t="str">
        <x:v>官方产品页</x:v>
      </x:c>
      <x:c r="D140" s="11" t="str">
        <x:v>Harmonia bloom Make &amp; Body set root (Volker)</x:v>
      </x:c>
      <x:c r="E140" s="11" t="str">
        <x:v>具体型号、制造主体、交付规格、材料与尺寸；未知字段保留。</x:v>
      </x:c>
      <x:c r="F140" s="11" t="str">
        <x:v>https://www.goodsmile.com/en/product/12385</x:v>
      </x:c>
      <x:c r="G140" s="11" t="str">
        <x:v>2026-10-05</x:v>
      </x:c>
      <x:c r="H140" s="11" t="str">
        <x:v>gsc-harmonia-12385</x:v>
      </x:c>
    </x:row>
    <x:row r="141" ht="72" customHeight="1">
      <x:c r="A141" s="11" t="str">
        <x:v>Harmonia bloom Outfit set (root) Hunter</x:v>
      </x:c>
      <x:c r="B141" s="11" t="str">
        <x:v>主来源</x:v>
      </x:c>
      <x:c r="C141" s="11" t="str">
        <x:v>官方产品页</x:v>
      </x:c>
      <x:c r="D141" s="11" t="str">
        <x:v>Harmonia bloom Outfit set (root) Hunter</x:v>
      </x:c>
      <x:c r="E141" s="11" t="str">
        <x:v>具体型号、制造主体、交付规格、材料与尺寸；未知字段保留。</x:v>
      </x:c>
      <x:c r="F141" s="11" t="str">
        <x:v>https://www.goodsmile.com/en/product/12384</x:v>
      </x:c>
      <x:c r="G141" s="11" t="str">
        <x:v>2026-10-05</x:v>
      </x:c>
      <x:c r="H141" s="11" t="str">
        <x:v>gsc-harmonia-12384</x:v>
      </x:c>
    </x:row>
    <x:row r="142" ht="72" customHeight="1">
      <x:c r="A142" s="11" t="str">
        <x:v>Harmonia bloom Volker Honest hunter</x:v>
      </x:c>
      <x:c r="B142" s="11" t="str">
        <x:v>主来源</x:v>
      </x:c>
      <x:c r="C142" s="11" t="str">
        <x:v>官方产品页</x:v>
      </x:c>
      <x:c r="D142" s="11" t="str">
        <x:v>Harmonia bloom Volker Honest hunter</x:v>
      </x:c>
      <x:c r="E142" s="11" t="str">
        <x:v>具体型号、制造主体、交付规格、材料与尺寸；未知字段保留。</x:v>
      </x:c>
      <x:c r="F142" s="11" t="str">
        <x:v>https://www.goodsmile.com/en/product/12383</x:v>
      </x:c>
      <x:c r="G142" s="11" t="str">
        <x:v>2026-10-05</x:v>
      </x:c>
      <x:c r="H142" s="11" t="str">
        <x:v>gsc-harmonia-12383</x:v>
      </x:c>
    </x:row>
    <x:row r="143" ht="72" customHeight="1">
      <x:c r="A143" s="11" t="str">
        <x:v>Harmonia bloom Seasonal 服装套装 Charlotte (Melone)</x:v>
      </x:c>
      <x:c r="B143" s="11" t="str">
        <x:v>主来源</x:v>
      </x:c>
      <x:c r="C143" s="11" t="str">
        <x:v>官方产品页</x:v>
      </x:c>
      <x:c r="D143" s="11" t="str">
        <x:v>Harmonia bloom Seasonal Outfit Set Charlotte (Melone)</x:v>
      </x:c>
      <x:c r="E143" s="11" t="str">
        <x:v>具体型号、制造主体、交付规格、材料与尺寸；未知字段保留。</x:v>
      </x:c>
      <x:c r="F143" s="11" t="str">
        <x:v>https://www.goodsmile.com/en/product/12085</x:v>
      </x:c>
      <x:c r="G143" s="11" t="str">
        <x:v>2026-10-05</x:v>
      </x:c>
      <x:c r="H143" s="11" t="str">
        <x:v>gsc-harmonia-12085</x:v>
      </x:c>
    </x:row>
    <x:row r="144" ht="72" customHeight="1">
      <x:c r="A144" s="11" t="str">
        <x:v>Harmonia bloom Seasonal 服装套装 Charlotte (Kirsche)</x:v>
      </x:c>
      <x:c r="B144" s="11" t="str">
        <x:v>主来源</x:v>
      </x:c>
      <x:c r="C144" s="11" t="str">
        <x:v>官方产品页</x:v>
      </x:c>
      <x:c r="D144" s="11" t="str">
        <x:v>Harmonia bloom Seasonal Outfit Set Charlotte (Kirsche)</x:v>
      </x:c>
      <x:c r="E144" s="11" t="str">
        <x:v>具体型号、制造主体、交付规格、材料与尺寸；未知字段保留。</x:v>
      </x:c>
      <x:c r="F144" s="11" t="str">
        <x:v>https://www.goodsmile.com/en/product/12086</x:v>
      </x:c>
      <x:c r="G144" s="11" t="str">
        <x:v>2026-10-05</x:v>
      </x:c>
      <x:c r="H144" s="11" t="str">
        <x:v>gsc-harmonia-12086</x:v>
      </x:c>
    </x:row>
    <x:row r="145" ht="72" customHeight="1">
      <x:c r="A145" s="11" t="str">
        <x:v>Harmonia humming Nadeshiko Kagamihara</x:v>
      </x:c>
      <x:c r="B145" s="11" t="str">
        <x:v>主来源</x:v>
      </x:c>
      <x:c r="C145" s="11" t="str">
        <x:v>官方产品页</x:v>
      </x:c>
      <x:c r="D145" s="11" t="str">
        <x:v>Harmonia humming Nadeshiko Kagamihara</x:v>
      </x:c>
      <x:c r="E145" s="11" t="str">
        <x:v>具体型号、制造主体、交付规格、材料与尺寸；未知字段保留。</x:v>
      </x:c>
      <x:c r="F145" s="11" t="str">
        <x:v>https://www.goodsmile.com/en/product/11731</x:v>
      </x:c>
      <x:c r="G145" s="11" t="str">
        <x:v>2026-10-05</x:v>
      </x:c>
      <x:c r="H145" s="11" t="str">
        <x:v>gsc-harmonia-11731</x:v>
      </x:c>
    </x:row>
    <x:row r="146" ht="72" customHeight="1">
      <x:c r="A146" s="11" t="str">
        <x:v>Harmonia humming Rin Shima</x:v>
      </x:c>
      <x:c r="B146" s="11" t="str">
        <x:v>主来源</x:v>
      </x:c>
      <x:c r="C146" s="11" t="str">
        <x:v>官方产品页</x:v>
      </x:c>
      <x:c r="D146" s="11" t="str">
        <x:v>Harmonia humming Rin Shima</x:v>
      </x:c>
      <x:c r="E146" s="11" t="str">
        <x:v>具体型号、制造主体、交付规格、材料与尺寸；未知字段保留。</x:v>
      </x:c>
      <x:c r="F146" s="11" t="str">
        <x:v>https://www.goodsmile.com/en/product/11732</x:v>
      </x:c>
      <x:c r="G146" s="11" t="str">
        <x:v>2026-10-05</x:v>
      </x:c>
      <x:c r="H146" s="11" t="str">
        <x:v>gsc-harmonia-11732</x:v>
      </x:c>
    </x:row>
    <x:row r="147" ht="72" customHeight="1">
      <x:c r="A147" s="11" t="str">
        <x:v>Harmonia bloom Seasonal Doll Gabriela</x:v>
      </x:c>
      <x:c r="B147" s="11" t="str">
        <x:v>主来源</x:v>
      </x:c>
      <x:c r="C147" s="11" t="str">
        <x:v>官方产品页</x:v>
      </x:c>
      <x:c r="D147" s="11" t="str">
        <x:v>Harmonia bloom Seasonal Doll Gabriela</x:v>
      </x:c>
      <x:c r="E147" s="11" t="str">
        <x:v>具体型号、制造主体、交付规格、材料与尺寸；未知字段保留。</x:v>
      </x:c>
      <x:c r="F147" s="11" t="str">
        <x:v>https://www.goodsmile.com/en/product/11646</x:v>
      </x:c>
      <x:c r="G147" s="11" t="str">
        <x:v>2026-10-05</x:v>
      </x:c>
      <x:c r="H147" s="11" t="str">
        <x:v>gsc-harmonia-11646</x:v>
      </x:c>
    </x:row>
    <x:row r="148" ht="72" customHeight="1">
      <x:c r="A148" s="11" t="str">
        <x:v>Harmonia bloom Seasonal 服装套装 Gabriela (Black)</x:v>
      </x:c>
      <x:c r="B148" s="11" t="str">
        <x:v>主来源</x:v>
      </x:c>
      <x:c r="C148" s="11" t="str">
        <x:v>官方产品页</x:v>
      </x:c>
      <x:c r="D148" s="11" t="str">
        <x:v>Harmonia bloom Seasonal Outfit Set Gabriela (Black)</x:v>
      </x:c>
      <x:c r="E148" s="11" t="str">
        <x:v>具体型号、制造主体、交付规格、材料与尺寸；未知字段保留。</x:v>
      </x:c>
      <x:c r="F148" s="11" t="str">
        <x:v>https://www.goodsmile.com/en/product/11648</x:v>
      </x:c>
      <x:c r="G148" s="11" t="str">
        <x:v>2026-10-05</x:v>
      </x:c>
      <x:c r="H148" s="11" t="str">
        <x:v>gsc-harmonia-11648</x:v>
      </x:c>
    </x:row>
    <x:row r="149" ht="72" customHeight="1">
      <x:c r="A149" s="11" t="str">
        <x:v>Harmonia bloom Seasonal 服装套装 Gabriela (White)</x:v>
      </x:c>
      <x:c r="B149" s="11" t="str">
        <x:v>主来源</x:v>
      </x:c>
      <x:c r="C149" s="11" t="str">
        <x:v>官方产品页</x:v>
      </x:c>
      <x:c r="D149" s="11" t="str">
        <x:v>Harmonia bloom Seasonal Outfit Set Gabriela (White)</x:v>
      </x:c>
      <x:c r="E149" s="11" t="str">
        <x:v>具体型号、制造主体、交付规格、材料与尺寸；未知字段保留。</x:v>
      </x:c>
      <x:c r="F149" s="11" t="str">
        <x:v>https://www.goodsmile.com/en/product/11649</x:v>
      </x:c>
      <x:c r="G149" s="11" t="str">
        <x:v>2026-10-05</x:v>
      </x:c>
      <x:c r="H149" s="11" t="str">
        <x:v>gsc-harmonia-11649</x:v>
      </x:c>
    </x:row>
    <x:row r="150" ht="72" customHeight="1">
      <x:c r="A150" s="11" t="str">
        <x:v>Harmonia bloom Masie Red Riding Hood</x:v>
      </x:c>
      <x:c r="B150" s="11" t="str">
        <x:v>主来源</x:v>
      </x:c>
      <x:c r="C150" s="11" t="str">
        <x:v>官方产品页</x:v>
      </x:c>
      <x:c r="D150" s="11" t="str">
        <x:v>Harmonia bloom Masie Red Riding Hood</x:v>
      </x:c>
      <x:c r="E150" s="11" t="str">
        <x:v>具体型号、制造主体、交付规格、材料与尺寸；未知字段保留。</x:v>
      </x:c>
      <x:c r="F150" s="11" t="str">
        <x:v>https://www.goodsmile.com/en/product/11338</x:v>
      </x:c>
      <x:c r="G150" s="11" t="str">
        <x:v>2026-10-05</x:v>
      </x:c>
      <x:c r="H150" s="11" t="str">
        <x:v>gsc-harmonia-11338</x:v>
      </x:c>
    </x:row>
    <x:row r="151" ht="72" customHeight="1">
      <x:c r="A151" s="11" t="str">
        <x:v>Harmonia bloom Christmas Limited Box (Rose/Pansy/Somei Yoshino/Madonna Lily)</x:v>
      </x:c>
      <x:c r="B151" s="11" t="str">
        <x:v>主来源</x:v>
      </x:c>
      <x:c r="C151" s="11" t="str">
        <x:v>官方产品页</x:v>
      </x:c>
      <x:c r="D151" s="11" t="str">
        <x:v>Harmonia bloom Christmas Limited Box (Rose/Pansy/Somei Yoshino/Madonna Lily)</x:v>
      </x:c>
      <x:c r="E151" s="11" t="str">
        <x:v>具体型号、制造主体、交付规格、材料与尺寸；未知字段保留。</x:v>
      </x:c>
      <x:c r="F151" s="11" t="str">
        <x:v>https://www.goodsmile.com/en/product/11307</x:v>
      </x:c>
      <x:c r="G151" s="11" t="str">
        <x:v>2026-10-05</x:v>
      </x:c>
      <x:c r="H151" s="11" t="str">
        <x:v>gsc-harmonia-11307</x:v>
      </x:c>
    </x:row>
    <x:row r="152" ht="72" customHeight="1">
      <x:c r="A152" s="11" t="str">
        <x:v>Harmonia humming humming doll (Natural) #0</x:v>
      </x:c>
      <x:c r="B152" s="11" t="str">
        <x:v>主来源</x:v>
      </x:c>
      <x:c r="C152" s="11" t="str">
        <x:v>官方产品页</x:v>
      </x:c>
      <x:c r="D152" s="11" t="str">
        <x:v>Harmonia humming humming doll (Natural) #0</x:v>
      </x:c>
      <x:c r="E152" s="11" t="str">
        <x:v>具体型号、制造主体、交付规格、材料与尺寸；未知字段保留。</x:v>
      </x:c>
      <x:c r="F152" s="11" t="str">
        <x:v>https://www.goodsmile.com/en/product/10492</x:v>
      </x:c>
      <x:c r="G152" s="11" t="str">
        <x:v>2026-10-05</x:v>
      </x:c>
      <x:c r="H152" s="11" t="str">
        <x:v>gsc-harmonia-10492</x:v>
      </x:c>
    </x:row>
    <x:row r="153" ht="72" customHeight="1">
      <x:c r="A153" s="11" t="str">
        <x:v>Harmonia humming humming doll (Sharp) #0</x:v>
      </x:c>
      <x:c r="B153" s="11" t="str">
        <x:v>主来源</x:v>
      </x:c>
      <x:c r="C153" s="11" t="str">
        <x:v>官方产品页</x:v>
      </x:c>
      <x:c r="D153" s="11" t="str">
        <x:v>Harmonia humming humming doll (Sharp) #0</x:v>
      </x:c>
      <x:c r="E153" s="11" t="str">
        <x:v>具体型号、制造主体、交付规格、材料与尺寸；未知字段保留。</x:v>
      </x:c>
      <x:c r="F153" s="11" t="str">
        <x:v>https://www.goodsmile.com/en/product/10493</x:v>
      </x:c>
      <x:c r="G153" s="11" t="str">
        <x:v>2026-10-05</x:v>
      </x:c>
      <x:c r="H153" s="11" t="str">
        <x:v>gsc-harmonia-10493</x:v>
      </x:c>
    </x:row>
    <x:row r="154" ht="72" customHeight="1">
      <x:c r="A154" s="11" t="str">
        <x:v>figma Hunter: The Old Hunters Edition</x:v>
      </x:c>
      <x:c r="B154" s="11" t="str">
        <x:v>主来源</x:v>
      </x:c>
      <x:c r="C154" s="11" t="str">
        <x:v>官方产品页</x:v>
      </x:c>
      <x:c r="D154" s="11" t="str">
        <x:v>figma Hunter: The Old Hunters Edition</x:v>
      </x:c>
      <x:c r="E154" s="11" t="str">
        <x:v>具体型号、制造主体、交付规格、材料与尺寸；未知字段保留。</x:v>
      </x:c>
      <x:c r="F154" s="11" t="str">
        <x:v>https://www.goodsmile.com/en/product/8648</x:v>
      </x:c>
      <x:c r="G154" s="11" t="str">
        <x:v>2026-10-05</x:v>
      </x:c>
      <x:c r="H154" s="11" t="str">
        <x:v>gsc-figma-8648</x:v>
      </x:c>
    </x:row>
    <x:row r="155" ht="72" customHeight="1">
      <x:c r="A155" s="11" t="str">
        <x:v>figma 2B (YoRHa No.2 Type B)</x:v>
      </x:c>
      <x:c r="B155" s="11" t="str">
        <x:v>主来源</x:v>
      </x:c>
      <x:c r="C155" s="11" t="str">
        <x:v>官方产品页</x:v>
      </x:c>
      <x:c r="D155" s="11" t="str">
        <x:v>figma 2B (YoRHa No.2 Type B)</x:v>
      </x:c>
      <x:c r="E155" s="11" t="str">
        <x:v>具体型号、制造主体、交付规格、材料与尺寸；未知字段保留。</x:v>
      </x:c>
      <x:c r="F155" s="11" t="str">
        <x:v>https://www.goodsmile.com/en/product/45954</x:v>
      </x:c>
      <x:c r="G155" s="11" t="str">
        <x:v>2026-10-05</x:v>
      </x:c>
      <x:c r="H155" s="11" t="str">
        <x:v>gsc-figma-45954</x:v>
      </x:c>
    </x:row>
    <x:row r="156" ht="72" customHeight="1">
      <x:c r="A156" s="11" t="str">
        <x:v>figma Soda: Twinkling Bunny</x:v>
      </x:c>
      <x:c r="B156" s="11" t="str">
        <x:v>主来源</x:v>
      </x:c>
      <x:c r="C156" s="11" t="str">
        <x:v>官方产品页</x:v>
      </x:c>
      <x:c r="D156" s="11" t="str">
        <x:v>figma Soda: Twinkling Bunny</x:v>
      </x:c>
      <x:c r="E156" s="11" t="str">
        <x:v>具体型号、制造主体、交付规格、材料与尺寸；未知字段保留。</x:v>
      </x:c>
      <x:c r="F156" s="11" t="str">
        <x:v>https://www.goodsmile.com/en/product/1145974</x:v>
      </x:c>
      <x:c r="G156" s="11" t="str">
        <x:v>2026-10-05</x:v>
      </x:c>
      <x:c r="H156" s="11" t="str">
        <x:v>gsc-figma-1145974</x:v>
      </x:c>
    </x:row>
    <x:row r="157" ht="72" customHeight="1">
      <x:c r="A157" s="11" t="str">
        <x:v>figma Venus de Milo</x:v>
      </x:c>
      <x:c r="B157" s="11" t="str">
        <x:v>主来源</x:v>
      </x:c>
      <x:c r="C157" s="11" t="str">
        <x:v>官方产品页</x:v>
      </x:c>
      <x:c r="D157" s="11" t="str">
        <x:v>figma Venus de Milo</x:v>
      </x:c>
      <x:c r="E157" s="11" t="str">
        <x:v>具体型号、制造主体、交付规格、材料与尺寸；未知字段保留。</x:v>
      </x:c>
      <x:c r="F157" s="11" t="str">
        <x:v>https://www.goodsmile.com/en/product/2857</x:v>
      </x:c>
      <x:c r="G157" s="11" t="str">
        <x:v>2026-10-05</x:v>
      </x:c>
      <x:c r="H157" s="11" t="str">
        <x:v>gsc-figma-2857</x:v>
      </x:c>
    </x:row>
    <x:row r="158" ht="72" customHeight="1">
      <x:c r="A158" s="11" t="str">
        <x:v>figma Leopard</x:v>
      </x:c>
      <x:c r="B158" s="11" t="str">
        <x:v>主来源</x:v>
      </x:c>
      <x:c r="C158" s="11" t="str">
        <x:v>官方产品页</x:v>
      </x:c>
      <x:c r="D158" s="11" t="str">
        <x:v>figma Leopard</x:v>
      </x:c>
      <x:c r="E158" s="11" t="str">
        <x:v>具体型号、制造主体、交付规格、材料与尺寸；未知字段保留。</x:v>
      </x:c>
      <x:c r="F158" s="11" t="str">
        <x:v>https://www.goodsmile.com/en/product/1137608</x:v>
      </x:c>
      <x:c r="G158" s="11" t="str">
        <x:v>2026-10-05</x:v>
      </x:c>
      <x:c r="H158" s="11" t="str">
        <x:v>gsc-figma-1137608</x:v>
      </x:c>
    </x:row>
    <x:row r="159" ht="72" customHeight="1">
      <x:c r="A159" s="11" t="str">
        <x:v>figma Kana</x:v>
      </x:c>
      <x:c r="B159" s="11" t="str">
        <x:v>主来源</x:v>
      </x:c>
      <x:c r="C159" s="11" t="str">
        <x:v>官方产品页</x:v>
      </x:c>
      <x:c r="D159" s="11" t="str">
        <x:v>figma Kana</x:v>
      </x:c>
      <x:c r="E159" s="11" t="str">
        <x:v>具体型号、制造主体、交付规格、材料与尺寸；未知字段保留。</x:v>
      </x:c>
      <x:c r="F159" s="11" t="str">
        <x:v>https://www.goodsmile.com/en/product/1146142</x:v>
      </x:c>
      <x:c r="G159" s="11" t="str">
        <x:v>2026-10-05</x:v>
      </x:c>
      <x:c r="H159" s="11" t="str">
        <x:v>gsc-figma-1146142</x:v>
      </x:c>
    </x:row>
    <x:row r="160" ht="72" customHeight="1">
      <x:c r="A160" s="11" t="str">
        <x:v>figma Panty &amp; Stocking: Angel ver. Set</x:v>
      </x:c>
      <x:c r="B160" s="11" t="str">
        <x:v>主来源</x:v>
      </x:c>
      <x:c r="C160" s="11" t="str">
        <x:v>官方产品页</x:v>
      </x:c>
      <x:c r="D160" s="11" t="str">
        <x:v>figma Panty &amp; Stocking: Angel ver. Set</x:v>
      </x:c>
      <x:c r="E160" s="11" t="str">
        <x:v>具体型号、制造主体、交付规格、材料与尺寸；未知字段保留。</x:v>
      </x:c>
      <x:c r="F160" s="11" t="str">
        <x:v>https://www.goodsmile.com/en/product/1146353</x:v>
      </x:c>
      <x:c r="G160" s="11" t="str">
        <x:v>2026-10-05</x:v>
      </x:c>
      <x:c r="H160" s="11" t="str">
        <x:v>gsc-figma-1146353</x:v>
      </x:c>
    </x:row>
    <x:row r="161" ht="72" customHeight="1">
      <x:c r="A161" s="11" t="str">
        <x:v>figma Panty: Angel ver.</x:v>
      </x:c>
      <x:c r="B161" s="11" t="str">
        <x:v>主来源</x:v>
      </x:c>
      <x:c r="C161" s="11" t="str">
        <x:v>官方产品页</x:v>
      </x:c>
      <x:c r="D161" s="11" t="str">
        <x:v>figma Panty: Angel ver.</x:v>
      </x:c>
      <x:c r="E161" s="11" t="str">
        <x:v>具体型号、制造主体、交付规格、材料与尺寸；未知字段保留。</x:v>
      </x:c>
      <x:c r="F161" s="11" t="str">
        <x:v>https://www.goodsmile.com/en/product/1137998</x:v>
      </x:c>
      <x:c r="G161" s="11" t="str">
        <x:v>2026-10-05</x:v>
      </x:c>
      <x:c r="H161" s="11" t="str">
        <x:v>gsc-figma-1137998</x:v>
      </x:c>
    </x:row>
    <x:row r="162" ht="72" customHeight="1">
      <x:c r="A162" s="11" t="str">
        <x:v>figma Stocking: Angel ver.</x:v>
      </x:c>
      <x:c r="B162" s="11" t="str">
        <x:v>主来源</x:v>
      </x:c>
      <x:c r="C162" s="11" t="str">
        <x:v>官方产品页</x:v>
      </x:c>
      <x:c r="D162" s="11" t="str">
        <x:v>figma Stocking: Angel ver.</x:v>
      </x:c>
      <x:c r="E162" s="11" t="str">
        <x:v>具体型号、制造主体、交付规格、材料与尺寸；未知字段保留。</x:v>
      </x:c>
      <x:c r="F162" s="11" t="str">
        <x:v>https://www.goodsmile.com/en/product/1137999</x:v>
      </x:c>
      <x:c r="G162" s="11" t="str">
        <x:v>2026-10-05</x:v>
      </x:c>
      <x:c r="H162" s="11" t="str">
        <x:v>gsc-figma-1137999</x:v>
      </x:c>
    </x:row>
    <x:row r="163" ht="72" customHeight="1">
      <x:c r="A163" s="11" t="str">
        <x:v>figma Noa Ushio</x:v>
      </x:c>
      <x:c r="B163" s="11" t="str">
        <x:v>主来源</x:v>
      </x:c>
      <x:c r="C163" s="11" t="str">
        <x:v>官方产品页</x:v>
      </x:c>
      <x:c r="D163" s="11" t="str">
        <x:v>figma Noa Ushio</x:v>
      </x:c>
      <x:c r="E163" s="11" t="str">
        <x:v>具体型号、制造主体、交付规格、材料与尺寸；未知字段保留。</x:v>
      </x:c>
      <x:c r="F163" s="11" t="str">
        <x:v>https://www.goodsmile.com/en/product/1137995</x:v>
      </x:c>
      <x:c r="G163" s="11" t="str">
        <x:v>2026-10-05</x:v>
      </x:c>
      <x:c r="H163" s="11" t="str">
        <x:v>gsc-figma-1137995</x:v>
      </x:c>
    </x:row>
    <x:row r="164" ht="72" customHeight="1">
      <x:c r="A164" s="11" t="str">
        <x:v>figma Anis: Sparkling Summer</x:v>
      </x:c>
      <x:c r="B164" s="11" t="str">
        <x:v>主来源</x:v>
      </x:c>
      <x:c r="C164" s="11" t="str">
        <x:v>官方产品页</x:v>
      </x:c>
      <x:c r="D164" s="11" t="str">
        <x:v>figma Anis: Sparkling Summer</x:v>
      </x:c>
      <x:c r="E164" s="11" t="str">
        <x:v>具体型号、制造主体、交付规格、材料与尺寸；未知字段保留。</x:v>
      </x:c>
      <x:c r="F164" s="11" t="str">
        <x:v>https://www.goodsmile.com/en/product/1145947</x:v>
      </x:c>
      <x:c r="G164" s="11" t="str">
        <x:v>2026-10-05</x:v>
      </x:c>
      <x:c r="H164" s="11" t="str">
        <x:v>gsc-figma-1145947</x:v>
      </x:c>
    </x:row>
    <x:row r="165" ht="72" customHeight="1">
      <x:c r="A165" s="11" t="str">
        <x:v>figma Nekomata Okayu</x:v>
      </x:c>
      <x:c r="B165" s="11" t="str">
        <x:v>主来源</x:v>
      </x:c>
      <x:c r="C165" s="11" t="str">
        <x:v>官方产品页</x:v>
      </x:c>
      <x:c r="D165" s="11" t="str">
        <x:v>figma Nekomata Okayu</x:v>
      </x:c>
      <x:c r="E165" s="11" t="str">
        <x:v>具体型号、制造主体、交付规格、材料与尺寸；未知字段保留。</x:v>
      </x:c>
      <x:c r="F165" s="11" t="str">
        <x:v>https://www.goodsmile.com/en/product/1143910</x:v>
      </x:c>
      <x:c r="G165" s="11" t="str">
        <x:v>2026-10-05</x:v>
      </x:c>
      <x:c r="H165" s="11" t="str">
        <x:v>gsc-figma-1143910</x:v>
      </x:c>
    </x:row>
    <x:row r="166" ht="72" customHeight="1">
      <x:c r="A166" s="11" t="str">
        <x:v>figma Umamusume: Pretty Derby Nice Nature</x:v>
      </x:c>
      <x:c r="B166" s="11" t="str">
        <x:v>主来源</x:v>
      </x:c>
      <x:c r="C166" s="11" t="str">
        <x:v>官方产品页</x:v>
      </x:c>
      <x:c r="D166" s="11" t="str">
        <x:v>figma Umamusume: Pretty Derby Nice Nature</x:v>
      </x:c>
      <x:c r="E166" s="11" t="str">
        <x:v>具体型号、制造主体、交付规格、材料与尺寸；未知字段保留。</x:v>
      </x:c>
      <x:c r="F166" s="11" t="str">
        <x:v>https://www.goodsmile.com/en/product/12485</x:v>
      </x:c>
      <x:c r="G166" s="11" t="str">
        <x:v>2026-10-05</x:v>
      </x:c>
      <x:c r="H166" s="11" t="str">
        <x:v>gsc-figma-12485</x:v>
      </x:c>
    </x:row>
    <x:row r="167" ht="72" customHeight="1">
      <x:c r="A167" s="11" t="str">
        <x:v>figma Lucifer</x:v>
      </x:c>
      <x:c r="B167" s="11" t="str">
        <x:v>主来源</x:v>
      </x:c>
      <x:c r="C167" s="11" t="str">
        <x:v>官方产品页</x:v>
      </x:c>
      <x:c r="D167" s="11" t="str">
        <x:v>figma Lucifer</x:v>
      </x:c>
      <x:c r="E167" s="11" t="str">
        <x:v>具体型号、制造主体、交付规格、材料与尺寸；未知字段保留。</x:v>
      </x:c>
      <x:c r="F167" s="11" t="str">
        <x:v>https://www.goodsmile.com/en/product/1137486</x:v>
      </x:c>
      <x:c r="G167" s="11" t="str">
        <x:v>2026-10-05</x:v>
      </x:c>
      <x:c r="H167" s="11" t="str">
        <x:v>gsc-figma-1137486</x:v>
      </x:c>
    </x:row>
    <x:row r="168" ht="72" customHeight="1">
      <x:c r="A168" s="11" t="str">
        <x:v>figma Veronica Sweetheart: Swimsuit Ver.</x:v>
      </x:c>
      <x:c r="B168" s="11" t="str">
        <x:v>主来源</x:v>
      </x:c>
      <x:c r="C168" s="11" t="str">
        <x:v>官方产品页</x:v>
      </x:c>
      <x:c r="D168" s="11" t="str">
        <x:v>figma Veronica Sweetheart: Swimsuit Ver.</x:v>
      </x:c>
      <x:c r="E168" s="11" t="str">
        <x:v>具体型号、制造主体、交付规格、材料与尺寸；未知字段保留。</x:v>
      </x:c>
      <x:c r="F168" s="11" t="str">
        <x:v>https://www.goodsmile.com/en/product/1142705</x:v>
      </x:c>
      <x:c r="G168" s="11" t="str">
        <x:v>2026-10-05</x:v>
      </x:c>
      <x:c r="H168" s="11" t="str">
        <x:v>gsc-figma-1142705</x:v>
      </x:c>
    </x:row>
    <x:row r="169" ht="72" customHeight="1">
      <x:c r="A169" s="11" t="str">
        <x:v>figma Ena Toyosaki ver. 1.5</x:v>
      </x:c>
      <x:c r="B169" s="11" t="str">
        <x:v>主来源</x:v>
      </x:c>
      <x:c r="C169" s="11" t="str">
        <x:v>官方产品页</x:v>
      </x:c>
      <x:c r="D169" s="11" t="str">
        <x:v>figma Ena Toyosaki ver. 1.5</x:v>
      </x:c>
      <x:c r="E169" s="11" t="str">
        <x:v>具体型号、制造主体、交付规格、材料与尺寸；未知字段保留。</x:v>
      </x:c>
      <x:c r="F169" s="11" t="str">
        <x:v>https://www.goodsmile.com/en/product/1146176</x:v>
      </x:c>
      <x:c r="G169" s="11" t="str">
        <x:v>2026-10-05</x:v>
      </x:c>
      <x:c r="H169" s="11" t="str">
        <x:v>gsc-figma-1146176</x:v>
      </x:c>
    </x:row>
    <x:row r="170" ht="72" customHeight="1">
      <x:c r="A170" s="11" t="str">
        <x:v>figma Miyo Asato: Summer Uniform ver. 1.5</x:v>
      </x:c>
      <x:c r="B170" s="11" t="str">
        <x:v>主来源</x:v>
      </x:c>
      <x:c r="C170" s="11" t="str">
        <x:v>官方产品页</x:v>
      </x:c>
      <x:c r="D170" s="11" t="str">
        <x:v>figma Miyo Asato: Summer Uniform ver. 1.5</x:v>
      </x:c>
      <x:c r="E170" s="11" t="str">
        <x:v>具体型号、制造主体、交付规格、材料与尺寸；未知字段保留。</x:v>
      </x:c>
      <x:c r="F170" s="11" t="str">
        <x:v>https://www.goodsmile.com/en/product/1146175</x:v>
      </x:c>
      <x:c r="G170" s="11" t="str">
        <x:v>2026-10-05</x:v>
      </x:c>
      <x:c r="H170" s="11" t="str">
        <x:v>gsc-figma-1146175</x:v>
      </x:c>
    </x:row>
    <x:row r="171" ht="72" customHeight="1">
      <x:c r="A171" s="11" t="str">
        <x:v>figma Albedo</x:v>
      </x:c>
      <x:c r="B171" s="11" t="str">
        <x:v>主来源</x:v>
      </x:c>
      <x:c r="C171" s="11" t="str">
        <x:v>官方产品页</x:v>
      </x:c>
      <x:c r="D171" s="11" t="str">
        <x:v>figma Albedo</x:v>
      </x:c>
      <x:c r="E171" s="11" t="str">
        <x:v>具体型号、制造主体、交付规格、材料与尺寸；未知字段保留。</x:v>
      </x:c>
      <x:c r="F171" s="11" t="str">
        <x:v>https://www.goodsmile.com/en/product/62125</x:v>
      </x:c>
      <x:c r="G171" s="11" t="str">
        <x:v>2026-10-05</x:v>
      </x:c>
      <x:c r="H171" s="11" t="str">
        <x:v>gsc-figma-62125</x:v>
      </x:c>
    </x:row>
    <x:row r="172" ht="72" customHeight="1">
      <x:c r="A172" s="11" t="str">
        <x:v>figma Angel Statues</x:v>
      </x:c>
      <x:c r="B172" s="11" t="str">
        <x:v>主来源</x:v>
      </x:c>
      <x:c r="C172" s="11" t="str">
        <x:v>官方产品页</x:v>
      </x:c>
      <x:c r="D172" s="11" t="str">
        <x:v>figma Angel Statues</x:v>
      </x:c>
      <x:c r="E172" s="11" t="str">
        <x:v>具体型号、制造主体、交付规格、材料与尺寸；未知字段保留。</x:v>
      </x:c>
      <x:c r="F172" s="11" t="str">
        <x:v>https://www.goodsmile.com/en/product/3509</x:v>
      </x:c>
      <x:c r="G172" s="11" t="str">
        <x:v>2026-10-05</x:v>
      </x:c>
      <x:c r="H172" s="11" t="str">
        <x:v>gsc-figma-3509</x:v>
      </x:c>
    </x:row>
    <x:row r="173" ht="72" customHeight="1">
      <x:c r="A173" s="11" t="str">
        <x:v>figma Nanachi</x:v>
      </x:c>
      <x:c r="B173" s="11" t="str">
        <x:v>主来源</x:v>
      </x:c>
      <x:c r="C173" s="11" t="str">
        <x:v>官方产品页</x:v>
      </x:c>
      <x:c r="D173" s="11" t="str">
        <x:v>figma Nanachi</x:v>
      </x:c>
      <x:c r="E173" s="11" t="str">
        <x:v>具体型号、制造主体、交付规格、材料与尺寸；未知字段保留。</x:v>
      </x:c>
      <x:c r="F173" s="11" t="str">
        <x:v>https://www.goodsmile.com/en/product/60700</x:v>
      </x:c>
      <x:c r="G173" s="11" t="str">
        <x:v>2026-10-05</x:v>
      </x:c>
      <x:c r="H173" s="11" t="str">
        <x:v>gsc-figma-60700</x:v>
      </x:c>
    </x:row>
    <x:row r="174" ht="72" customHeight="1">
      <x:c r="A174" s="11" t="str">
        <x:v>figma Magia Baiser</x:v>
      </x:c>
      <x:c r="B174" s="11" t="str">
        <x:v>主来源</x:v>
      </x:c>
      <x:c r="C174" s="11" t="str">
        <x:v>官方产品页</x:v>
      </x:c>
      <x:c r="D174" s="11" t="str">
        <x:v>figma Magia Baiser</x:v>
      </x:c>
      <x:c r="E174" s="11" t="str">
        <x:v>具体型号、制造主体、交付规格、材料与尺寸；未知字段保留。</x:v>
      </x:c>
      <x:c r="F174" s="11" t="str">
        <x:v>https://www.goodsmile.com/en/product/1137492</x:v>
      </x:c>
      <x:c r="G174" s="11" t="str">
        <x:v>2026-10-05</x:v>
      </x:c>
      <x:c r="H174" s="11" t="str">
        <x:v>gsc-figma-1137492</x:v>
      </x:c>
    </x:row>
    <x:row r="175" ht="72" customHeight="1">
      <x:c r="A175" s="11" t="str">
        <x:v>figma Yuriko Okada: Electro-Wave Human Tackle Ver.</x:v>
      </x:c>
      <x:c r="B175" s="11" t="str">
        <x:v>主来源</x:v>
      </x:c>
      <x:c r="C175" s="11" t="str">
        <x:v>官方产品页</x:v>
      </x:c>
      <x:c r="D175" s="11" t="str">
        <x:v>figma Yuriko Okada: Electro-Wave Human Tackle Ver.</x:v>
      </x:c>
      <x:c r="E175" s="11" t="str">
        <x:v>具体型号、制造主体、交付规格、材料与尺寸；未知字段保留。</x:v>
      </x:c>
      <x:c r="F175" s="11" t="str">
        <x:v>https://www.goodsmile.com/en/product/1141915</x:v>
      </x:c>
      <x:c r="G175" s="11" t="str">
        <x:v>2026-10-05</x:v>
      </x:c>
      <x:c r="H175" s="11" t="str">
        <x:v>gsc-figma-1141915</x:v>
      </x:c>
    </x:row>
    <x:row r="176" ht="72" customHeight="1">
      <x:c r="A176" s="11" t="str">
        <x:v>figma Seia Yurizono</x:v>
      </x:c>
      <x:c r="B176" s="11" t="str">
        <x:v>主来源</x:v>
      </x:c>
      <x:c r="C176" s="11" t="str">
        <x:v>官方产品页</x:v>
      </x:c>
      <x:c r="D176" s="11" t="str">
        <x:v>figma Seia Yurizono</x:v>
      </x:c>
      <x:c r="E176" s="11" t="str">
        <x:v>具体型号、制造主体、交付规格、材料与尺寸；未知字段保留。</x:v>
      </x:c>
      <x:c r="F176" s="11" t="str">
        <x:v>https://www.goodsmile.com/en/product/1144554</x:v>
      </x:c>
      <x:c r="G176" s="11" t="str">
        <x:v>2026-10-05</x:v>
      </x:c>
      <x:c r="H176" s="11" t="str">
        <x:v>gsc-figma-1144554</x:v>
      </x:c>
    </x:row>
    <x:row r="177" ht="72" customHeight="1">
      <x:c r="A177" s="11" t="str">
        <x:v>figma Guyver III: Ultimate Edition</x:v>
      </x:c>
      <x:c r="B177" s="11" t="str">
        <x:v>主来源</x:v>
      </x:c>
      <x:c r="C177" s="11" t="str">
        <x:v>官方产品页</x:v>
      </x:c>
      <x:c r="D177" s="11" t="str">
        <x:v>figma Guyver III: Ultimate Edition</x:v>
      </x:c>
      <x:c r="E177" s="11" t="str">
        <x:v>具体型号、制造主体、交付规格、材料与尺寸；未知字段保留。</x:v>
      </x:c>
      <x:c r="F177" s="11" t="str">
        <x:v>https://www.goodsmile.com/en/product/1143909</x:v>
      </x:c>
      <x:c r="G177" s="11" t="str">
        <x:v>2026-10-05</x:v>
      </x:c>
      <x:c r="H177" s="11" t="str">
        <x:v>gsc-figma-1143909</x:v>
      </x:c>
    </x:row>
    <x:row r="178" ht="72" customHeight="1">
      <x:c r="A178" s="11" t="str">
        <x:v>figma Tanya Degurechaff</x:v>
      </x:c>
      <x:c r="B178" s="11" t="str">
        <x:v>主来源</x:v>
      </x:c>
      <x:c r="C178" s="11" t="str">
        <x:v>官方产品页</x:v>
      </x:c>
      <x:c r="D178" s="11" t="str">
        <x:v>figma Tanya Degurechaff</x:v>
      </x:c>
      <x:c r="E178" s="11" t="str">
        <x:v>具体型号、制造主体、交付规格、材料与尺寸；未知字段保留。</x:v>
      </x:c>
      <x:c r="F178" s="11" t="str">
        <x:v>https://www.goodsmile.com/en/product/6055</x:v>
      </x:c>
      <x:c r="G178" s="11" t="str">
        <x:v>2026-10-05</x:v>
      </x:c>
      <x:c r="H178" s="11" t="str">
        <x:v>gsc-figma-6055</x:v>
      </x:c>
    </x:row>
    <x:row r="179" ht="72" customHeight="1">
      <x:c r="A179" s="11" t="str">
        <x:v>figma Kayoko Onikata</x:v>
      </x:c>
      <x:c r="B179" s="11" t="str">
        <x:v>主来源</x:v>
      </x:c>
      <x:c r="C179" s="11" t="str">
        <x:v>官方产品页</x:v>
      </x:c>
      <x:c r="D179" s="11" t="str">
        <x:v>figma Kayoko Onikata</x:v>
      </x:c>
      <x:c r="E179" s="11" t="str">
        <x:v>具体型号、制造主体、交付规格、材料与尺寸；未知字段保留。</x:v>
      </x:c>
      <x:c r="F179" s="11" t="str">
        <x:v>https://www.goodsmile.com/en/product/1142700</x:v>
      </x:c>
      <x:c r="G179" s="11" t="str">
        <x:v>2026-10-05</x:v>
      </x:c>
      <x:c r="H179" s="11" t="str">
        <x:v>gsc-figma-1142700</x:v>
      </x:c>
    </x:row>
    <x:row r="180" ht="72" customHeight="1">
      <x:c r="A180" s="11" t="str">
        <x:v>figma Valby</x:v>
      </x:c>
      <x:c r="B180" s="11" t="str">
        <x:v>主来源</x:v>
      </x:c>
      <x:c r="C180" s="11" t="str">
        <x:v>官方产品页</x:v>
      </x:c>
      <x:c r="D180" s="11" t="str">
        <x:v>figma Valby</x:v>
      </x:c>
      <x:c r="E180" s="11" t="str">
        <x:v>具体型号、制造主体、交付规格、材料与尺寸；未知字段保留。</x:v>
      </x:c>
      <x:c r="F180" s="11" t="str">
        <x:v>https://www.goodsmile.com/en/product/1144552</x:v>
      </x:c>
      <x:c r="G180" s="11" t="str">
        <x:v>2026-10-05</x:v>
      </x:c>
      <x:c r="H180" s="11" t="str">
        <x:v>gsc-figma-1144552</x:v>
      </x:c>
    </x:row>
    <x:row r="181" ht="72" customHeight="1">
      <x:c r="A181" s="11" t="str">
        <x:v>figma Shiroko*Terror</x:v>
      </x:c>
      <x:c r="B181" s="11" t="str">
        <x:v>主来源</x:v>
      </x:c>
      <x:c r="C181" s="11" t="str">
        <x:v>官方产品页</x:v>
      </x:c>
      <x:c r="D181" s="11" t="str">
        <x:v>figma Shiroko*Terror</x:v>
      </x:c>
      <x:c r="E181" s="11" t="str">
        <x:v>具体型号、制造主体、交付规格、材料与尺寸；未知字段保留。</x:v>
      </x:c>
      <x:c r="F181" s="11" t="str">
        <x:v>https://www.goodsmile.com/en/product/1137994</x:v>
      </x:c>
      <x:c r="G181" s="11" t="str">
        <x:v>2026-10-05</x:v>
      </x:c>
      <x:c r="H181" s="11" t="str">
        <x:v>gsc-figma-1137994</x:v>
      </x:c>
    </x:row>
    <x:row r="182" ht="72" customHeight="1">
      <x:c r="A182" s="11" t="str">
        <x:v>figma Klukai</x:v>
      </x:c>
      <x:c r="B182" s="11" t="str">
        <x:v>主来源</x:v>
      </x:c>
      <x:c r="C182" s="11" t="str">
        <x:v>官方产品页</x:v>
      </x:c>
      <x:c r="D182" s="11" t="str">
        <x:v>figma Klukai</x:v>
      </x:c>
      <x:c r="E182" s="11" t="str">
        <x:v>具体型号、制造主体、交付规格、材料与尺寸；未知字段保留。</x:v>
      </x:c>
      <x:c r="F182" s="11" t="str">
        <x:v>https://www.goodsmile.com/en/product/1142692</x:v>
      </x:c>
      <x:c r="G182" s="11" t="str">
        <x:v>2026-10-05</x:v>
      </x:c>
      <x:c r="H182" s="11" t="str">
        <x:v>gsc-figma-1142692</x:v>
      </x:c>
    </x:row>
    <x:row r="183" ht="72" customHeight="1">
      <x:c r="A183" s="11" t="str">
        <x:v>figma Winged Victory of Samothrace</x:v>
      </x:c>
      <x:c r="B183" s="11" t="str">
        <x:v>主来源</x:v>
      </x:c>
      <x:c r="C183" s="11" t="str">
        <x:v>官方产品页</x:v>
      </x:c>
      <x:c r="D183" s="11" t="str">
        <x:v>figma Winged Victory of Samothrace</x:v>
      </x:c>
      <x:c r="E183" s="11" t="str">
        <x:v>具体型号、制造主体、交付规格、材料与尺寸；未知字段保留。</x:v>
      </x:c>
      <x:c r="F183" s="11" t="str">
        <x:v>https://www.goodsmile.com/en/product/5038</x:v>
      </x:c>
      <x:c r="G183" s="11" t="str">
        <x:v>2026-10-05</x:v>
      </x:c>
      <x:c r="H183" s="11" t="str">
        <x:v>gsc-figma-5038</x:v>
      </x:c>
    </x:row>
    <x:row r="184" ht="72" customHeight="1">
      <x:c r="A184" s="11" t="str">
        <x:v>figma Silva Barrelline</x:v>
      </x:c>
      <x:c r="B184" s="11" t="str">
        <x:v>主来源</x:v>
      </x:c>
      <x:c r="C184" s="11" t="str">
        <x:v>官方产品页</x:v>
      </x:c>
      <x:c r="D184" s="11" t="str">
        <x:v>figma Silva Barrelline</x:v>
      </x:c>
      <x:c r="E184" s="11" t="str">
        <x:v>具体型号、制造主体、交付规格、材料与尺寸；未知字段保留。</x:v>
      </x:c>
      <x:c r="F184" s="11" t="str">
        <x:v>https://www.goodsmile.com/en/product/1142704</x:v>
      </x:c>
      <x:c r="G184" s="11" t="str">
        <x:v>2026-10-05</x:v>
      </x:c>
      <x:c r="H184" s="11" t="str">
        <x:v>gsc-figma-1142704</x:v>
      </x:c>
    </x:row>
    <x:row r="185" ht="72" customHeight="1">
      <x:c r="A185" s="11" t="str">
        <x:v>figma Bridget</x:v>
      </x:c>
      <x:c r="B185" s="11" t="str">
        <x:v>主来源</x:v>
      </x:c>
      <x:c r="C185" s="11" t="str">
        <x:v>官方产品页</x:v>
      </x:c>
      <x:c r="D185" s="11" t="str">
        <x:v>figma Bridget</x:v>
      </x:c>
      <x:c r="E185" s="11" t="str">
        <x:v>具体型号、制造主体、交付规格、材料与尺寸；未知字段保留。</x:v>
      </x:c>
      <x:c r="F185" s="11" t="str">
        <x:v>https://www.goodsmile.com/en/product/1137488</x:v>
      </x:c>
      <x:c r="G185" s="11" t="str">
        <x:v>2026-10-05</x:v>
      </x:c>
      <x:c r="H185" s="11" t="str">
        <x:v>gsc-figma-1137488</x:v>
      </x:c>
    </x:row>
    <x:row r="186" ht="72" customHeight="1">
      <x:c r="A186" s="11" t="str">
        <x:v>figma Yuuka Hayase</x:v>
      </x:c>
      <x:c r="B186" s="11" t="str">
        <x:v>主来源</x:v>
      </x:c>
      <x:c r="C186" s="11" t="str">
        <x:v>官方产品页</x:v>
      </x:c>
      <x:c r="D186" s="11" t="str">
        <x:v>figma Yuuka Hayase</x:v>
      </x:c>
      <x:c r="E186" s="11" t="str">
        <x:v>具体型号、制造主体、交付规格、材料与尺寸；未知字段保留。</x:v>
      </x:c>
      <x:c r="F186" s="11" t="str">
        <x:v>https://www.goodsmile.com/en/product/60342</x:v>
      </x:c>
      <x:c r="G186" s="11" t="str">
        <x:v>2026-10-05</x:v>
      </x:c>
      <x:c r="H186" s="11" t="str">
        <x:v>gsc-figma-60342</x:v>
      </x:c>
    </x:row>
    <x:row r="187" ht="72" customHeight="1">
      <x:c r="A187" s="11" t="str">
        <x:v>figma Ruka</x:v>
      </x:c>
      <x:c r="B187" s="11" t="str">
        <x:v>主来源</x:v>
      </x:c>
      <x:c r="C187" s="11" t="str">
        <x:v>官方产品页</x:v>
      </x:c>
      <x:c r="D187" s="11" t="str">
        <x:v>figma Ruka</x:v>
      </x:c>
      <x:c r="E187" s="11" t="str">
        <x:v>具体型号、制造主体、交付规格、材料与尺寸；未知字段保留。</x:v>
      </x:c>
      <x:c r="F187" s="11" t="str">
        <x:v>https://www.goodsmile.com/en/product/1142693</x:v>
      </x:c>
      <x:c r="G187" s="11" t="str">
        <x:v>2026-10-05</x:v>
      </x:c>
      <x:c r="H187" s="11" t="str">
        <x:v>gsc-figma-1142693</x:v>
      </x:c>
    </x:row>
    <x:row r="188" ht="72" customHeight="1">
      <x:c r="A188" s="11" t="str">
        <x:v>figma Saori Joumae</x:v>
      </x:c>
      <x:c r="B188" s="11" t="str">
        <x:v>主来源</x:v>
      </x:c>
      <x:c r="C188" s="11" t="str">
        <x:v>官方产品页</x:v>
      </x:c>
      <x:c r="D188" s="11" t="str">
        <x:v>figma Saori Joumae</x:v>
      </x:c>
      <x:c r="E188" s="11" t="str">
        <x:v>具体型号、制造主体、交付规格、材料与尺寸；未知字段保留。</x:v>
      </x:c>
      <x:c r="F188" s="11" t="str">
        <x:v>https://www.goodsmile.com/en/product/1137997</x:v>
      </x:c>
      <x:c r="G188" s="11" t="str">
        <x:v>2026-10-05</x:v>
      </x:c>
      <x:c r="H188" s="11" t="str">
        <x:v>gsc-figma-1137997</x:v>
      </x:c>
    </x:row>
    <x:row r="189" ht="72" customHeight="1">
      <x:c r="A189" s="11" t="str">
        <x:v>figma Raging Wolf</x:v>
      </x:c>
      <x:c r="B189" s="11" t="str">
        <x:v>主来源</x:v>
      </x:c>
      <x:c r="C189" s="11" t="str">
        <x:v>官方产品页</x:v>
      </x:c>
      <x:c r="D189" s="11" t="str">
        <x:v>figma Raging Wolf</x:v>
      </x:c>
      <x:c r="E189" s="11" t="str">
        <x:v>具体型号、制造主体、交付规格、材料与尺寸；未知字段保留。</x:v>
      </x:c>
      <x:c r="F189" s="11" t="str">
        <x:v>https://www.goodsmile.com/en/product/55941</x:v>
      </x:c>
      <x:c r="G189" s="11" t="str">
        <x:v>2026-10-05</x:v>
      </x:c>
      <x:c r="H189" s="11" t="str">
        <x:v>gsc-figma-55941</x:v>
      </x:c>
    </x:row>
    <x:row r="190" ht="72" customHeight="1">
      <x:c r="A190" s="11" t="str">
        <x:v>figma Lancer/Scáthach</x:v>
      </x:c>
      <x:c r="B190" s="11" t="str">
        <x:v>主来源</x:v>
      </x:c>
      <x:c r="C190" s="11" t="str">
        <x:v>官方产品页</x:v>
      </x:c>
      <x:c r="D190" s="11" t="str">
        <x:v>figma Lancer/Scáthach</x:v>
      </x:c>
      <x:c r="E190" s="11" t="str">
        <x:v>具体型号、制造主体、交付规格、材料与尺寸；未知字段保留。</x:v>
      </x:c>
      <x:c r="F190" s="11" t="str">
        <x:v>https://www.goodsmile.com/en/product/4722</x:v>
      </x:c>
      <x:c r="G190" s="11" t="str">
        <x:v>2026-10-05</x:v>
      </x:c>
      <x:c r="H190" s="11" t="str">
        <x:v>gsc-figma-4722</x:v>
      </x:c>
    </x:row>
    <x:row r="191" ht="72" customHeight="1">
      <x:c r="A191" s="11" t="str">
        <x:v>figma Pomni</x:v>
      </x:c>
      <x:c r="B191" s="11" t="str">
        <x:v>主来源</x:v>
      </x:c>
      <x:c r="C191" s="11" t="str">
        <x:v>官方产品页</x:v>
      </x:c>
      <x:c r="D191" s="11" t="str">
        <x:v>figma Pomni</x:v>
      </x:c>
      <x:c r="E191" s="11" t="str">
        <x:v>具体型号、制造主体、交付规格、材料与尺寸；未知字段保留。</x:v>
      </x:c>
      <x:c r="F191" s="11" t="str">
        <x:v>https://www.goodsmile.com/en/product/1144248</x:v>
      </x:c>
      <x:c r="G191" s="11" t="str">
        <x:v>2026-10-05</x:v>
      </x:c>
      <x:c r="H191" s="11" t="str">
        <x:v>gsc-figma-1144248</x:v>
      </x:c>
    </x:row>
    <x:row r="192" ht="72" customHeight="1">
      <x:c r="A192" s="11" t="str">
        <x:v>figma Tololo</x:v>
      </x:c>
      <x:c r="B192" s="11" t="str">
        <x:v>主来源</x:v>
      </x:c>
      <x:c r="C192" s="11" t="str">
        <x:v>官方产品页</x:v>
      </x:c>
      <x:c r="D192" s="11" t="str">
        <x:v>figma Tololo</x:v>
      </x:c>
      <x:c r="E192" s="11" t="str">
        <x:v>具体型号、制造主体、交付规格、材料与尺寸；未知字段保留。</x:v>
      </x:c>
      <x:c r="F192" s="11" t="str">
        <x:v>https://www.goodsmile.com/en/product/1142689</x:v>
      </x:c>
      <x:c r="G192" s="11" t="str">
        <x:v>2026-10-05</x:v>
      </x:c>
      <x:c r="H192" s="11" t="str">
        <x:v>gsc-figma-1142689</x:v>
      </x:c>
    </x:row>
    <x:row r="193" ht="72" customHeight="1">
      <x:c r="A193" s="11" t="str">
        <x:v>POP UP PARADE Louise L Size</x:v>
      </x:c>
      <x:c r="B193" s="11" t="str">
        <x:v>主来源</x:v>
      </x:c>
      <x:c r="C193" s="11" t="str">
        <x:v>官方产品页</x:v>
      </x:c>
      <x:c r="D193" s="11" t="str">
        <x:v>POP UP PARADE Louise L Size</x:v>
      </x:c>
      <x:c r="E193" s="11" t="str">
        <x:v>具体型号、制造主体、交付规格、材料与尺寸；未知字段保留。</x:v>
      </x:c>
      <x:c r="F193" s="11" t="str">
        <x:v>https://www.goodsmile.com/en/product/1141520</x:v>
      </x:c>
      <x:c r="G193" s="11" t="str">
        <x:v>2026-10-05</x:v>
      </x:c>
      <x:c r="H193" s="11" t="str">
        <x:v>gsc-pop-1141520</x:v>
      </x:c>
    </x:row>
    <x:row r="194" ht="72" customHeight="1">
      <x:c r="A194" s="11" t="str">
        <x:v>POP UP PARADE lain iwakura L Size</x:v>
      </x:c>
      <x:c r="B194" s="11" t="str">
        <x:v>主来源</x:v>
      </x:c>
      <x:c r="C194" s="11" t="str">
        <x:v>官方产品页</x:v>
      </x:c>
      <x:c r="D194" s="11" t="str">
        <x:v>POP UP PARADE lain iwakura L Size</x:v>
      </x:c>
      <x:c r="E194" s="11" t="str">
        <x:v>具体型号、制造主体、交付规格、材料与尺寸；未知字段保留。</x:v>
      </x:c>
      <x:c r="F194" s="11" t="str">
        <x:v>https://www.goodsmile.com/en/product/1137445</x:v>
      </x:c>
      <x:c r="G194" s="11" t="str">
        <x:v>2026-10-05</x:v>
      </x:c>
      <x:c r="H194" s="11" t="str">
        <x:v>gsc-pop-1137445</x:v>
      </x:c>
    </x:row>
    <x:row r="195" ht="72" customHeight="1">
      <x:c r="A195" s="11" t="str">
        <x:v>POP UP PARADE 初音未来: DecoMiku (Lightness) L Size</x:v>
      </x:c>
      <x:c r="B195" s="11" t="str">
        <x:v>主来源</x:v>
      </x:c>
      <x:c r="C195" s="11" t="str">
        <x:v>官方产品页</x:v>
      </x:c>
      <x:c r="D195" s="11" t="str">
        <x:v>POP UP PARADE Hatsune Miku: DecoMiku (Lightness) L Size</x:v>
      </x:c>
      <x:c r="E195" s="11" t="str">
        <x:v>具体型号、制造主体、交付规格、材料与尺寸；未知字段保留。</x:v>
      </x:c>
      <x:c r="F195" s="11" t="str">
        <x:v>https://www.goodsmile.com/en/product/1141247</x:v>
      </x:c>
      <x:c r="G195" s="11" t="str">
        <x:v>2026-10-05</x:v>
      </x:c>
      <x:c r="H195" s="11" t="str">
        <x:v>gsc-pop-1141247</x:v>
      </x:c>
    </x:row>
    <x:row r="196" ht="72" customHeight="1">
      <x:c r="A196" s="11" t="str">
        <x:v>POP UP PARADE 初音未来: DecoMiku (Darkness) L Size</x:v>
      </x:c>
      <x:c r="B196" s="11" t="str">
        <x:v>主来源</x:v>
      </x:c>
      <x:c r="C196" s="11" t="str">
        <x:v>官方产品页</x:v>
      </x:c>
      <x:c r="D196" s="11" t="str">
        <x:v>POP UP PARADE Hatsune Miku: DecoMiku (Darkness) L Size</x:v>
      </x:c>
      <x:c r="E196" s="11" t="str">
        <x:v>具体型号、制造主体、交付规格、材料与尺寸；未知字段保留。</x:v>
      </x:c>
      <x:c r="F196" s="11" t="str">
        <x:v>https://www.goodsmile.com/en/product/1141248</x:v>
      </x:c>
      <x:c r="G196" s="11" t="str">
        <x:v>2026-10-05</x:v>
      </x:c>
      <x:c r="H196" s="11" t="str">
        <x:v>gsc-pop-1141248</x:v>
      </x:c>
    </x:row>
    <x:row r="197" ht="72" customHeight="1">
      <x:c r="A197" s="11" t="str">
        <x:v>POP UP PARADE Kasane Teto: Synthesizer V AI Ver. L Size</x:v>
      </x:c>
      <x:c r="B197" s="11" t="str">
        <x:v>主来源</x:v>
      </x:c>
      <x:c r="C197" s="11" t="str">
        <x:v>官方产品页</x:v>
      </x:c>
      <x:c r="D197" s="11" t="str">
        <x:v>POP UP PARADE Kasane Teto: Synthesizer V AI Ver. L Size</x:v>
      </x:c>
      <x:c r="E197" s="11" t="str">
        <x:v>具体型号、制造主体、交付规格、材料与尺寸；未知字段保留。</x:v>
      </x:c>
      <x:c r="F197" s="11" t="str">
        <x:v>https://www.goodsmile.com/en/product/1144430</x:v>
      </x:c>
      <x:c r="G197" s="11" t="str">
        <x:v>2026-10-05</x:v>
      </x:c>
      <x:c r="H197" s="11" t="str">
        <x:v>gsc-pop-1144430</x:v>
      </x:c>
    </x:row>
    <x:row r="198" ht="72" customHeight="1">
      <x:c r="A198" s="11" t="str">
        <x:v>POP UP PARADE Swacchao! Rikka Takarada: Pajamas Ver. XL Size</x:v>
      </x:c>
      <x:c r="B198" s="11" t="str">
        <x:v>主来源</x:v>
      </x:c>
      <x:c r="C198" s="11" t="str">
        <x:v>官方产品页</x:v>
      </x:c>
      <x:c r="D198" s="11" t="str">
        <x:v>POP UP PARADE Swacchao! Rikka Takarada: Pajamas Ver. XL Size</x:v>
      </x:c>
      <x:c r="E198" s="11" t="str">
        <x:v>具体型号、制造主体、交付规格、材料与尺寸；未知字段保留。</x:v>
      </x:c>
      <x:c r="F198" s="11" t="str">
        <x:v>https://www.goodsmile.com/en/product/1144464</x:v>
      </x:c>
      <x:c r="G198" s="11" t="str">
        <x:v>2026-10-05</x:v>
      </x:c>
      <x:c r="H198" s="11" t="str">
        <x:v>gsc-pop-1144464</x:v>
      </x:c>
    </x:row>
    <x:row r="199" ht="72" customHeight="1">
      <x:c r="A199" s="11" t="str">
        <x:v>POP UP PARADE Petite Speaki</x:v>
      </x:c>
      <x:c r="B199" s="11" t="str">
        <x:v>主来源</x:v>
      </x:c>
      <x:c r="C199" s="11" t="str">
        <x:v>官方产品页</x:v>
      </x:c>
      <x:c r="D199" s="11" t="str">
        <x:v>POP UP PARADE Petite Speaki</x:v>
      </x:c>
      <x:c r="E199" s="11" t="str">
        <x:v>具体型号、制造主体、交付规格、材料与尺寸；未知字段保留。</x:v>
      </x:c>
      <x:c r="F199" s="11" t="str">
        <x:v>https://www.goodsmile.com/en/product/1144852</x:v>
      </x:c>
      <x:c r="G199" s="11" t="str">
        <x:v>2026-10-05</x:v>
      </x:c>
      <x:c r="H199" s="11" t="str">
        <x:v>gsc-pop-1144852</x:v>
      </x:c>
    </x:row>
    <x:row r="200" ht="72" customHeight="1">
      <x:c r="A200" s="11" t="str">
        <x:v>POP UP PARADE Loona L Size</x:v>
      </x:c>
      <x:c r="B200" s="11" t="str">
        <x:v>主来源</x:v>
      </x:c>
      <x:c r="C200" s="11" t="str">
        <x:v>官方产品页</x:v>
      </x:c>
      <x:c r="D200" s="11" t="str">
        <x:v>POP UP PARADE Loona L Size</x:v>
      </x:c>
      <x:c r="E200" s="11" t="str">
        <x:v>具体型号、制造主体、交付规格、材料与尺寸；未知字段保留。</x:v>
      </x:c>
      <x:c r="F200" s="11" t="str">
        <x:v>https://www.goodsmile.com/en/product/1144959</x:v>
      </x:c>
      <x:c r="G200" s="11" t="str">
        <x:v>2026-10-05</x:v>
      </x:c>
      <x:c r="H200" s="11" t="str">
        <x:v>gsc-pop-1144959</x:v>
      </x:c>
    </x:row>
    <x:row r="201" ht="72" customHeight="1">
      <x:c r="A201" s="11" t="str">
        <x:v>POP UP PARADE SP Mihono Bourbon</x:v>
      </x:c>
      <x:c r="B201" s="11" t="str">
        <x:v>主来源</x:v>
      </x:c>
      <x:c r="C201" s="11" t="str">
        <x:v>官方产品页</x:v>
      </x:c>
      <x:c r="D201" s="11" t="str">
        <x:v>POP UP PARADE SP Mihono Bourbon</x:v>
      </x:c>
      <x:c r="E201" s="11" t="str">
        <x:v>具体型号、制造主体、交付规格、材料与尺寸；未知字段保留。</x:v>
      </x:c>
      <x:c r="F201" s="11" t="str">
        <x:v>https://www.goodsmile.com/en/product/1136847</x:v>
      </x:c>
      <x:c r="G201" s="11" t="str">
        <x:v>2026-10-05</x:v>
      </x:c>
      <x:c r="H201" s="11" t="str">
        <x:v>gsc-pop-1136847</x:v>
      </x:c>
    </x:row>
    <x:row r="202" ht="72" customHeight="1">
      <x:c r="A202" s="11" t="str">
        <x:v>POP UP PARADE SP Jett</x:v>
      </x:c>
      <x:c r="B202" s="11" t="str">
        <x:v>主来源</x:v>
      </x:c>
      <x:c r="C202" s="11" t="str">
        <x:v>官方产品页</x:v>
      </x:c>
      <x:c r="D202" s="11" t="str">
        <x:v>POP UP PARADE SP Jett</x:v>
      </x:c>
      <x:c r="E202" s="11" t="str">
        <x:v>具体型号、制造主体、交付规格、材料与尺寸；未知字段保留。</x:v>
      </x:c>
      <x:c r="F202" s="11" t="str">
        <x:v>https://www.goodsmile.com/en/product/1141572</x:v>
      </x:c>
      <x:c r="G202" s="11" t="str">
        <x:v>2026-10-05</x:v>
      </x:c>
      <x:c r="H202" s="11" t="str">
        <x:v>gsc-pop-1141572</x:v>
      </x:c>
    </x:row>
    <x:row r="203" ht="72" customHeight="1">
      <x:c r="A203" s="11" t="str">
        <x:v>POP UP PARADE Lucy L Size</x:v>
      </x:c>
      <x:c r="B203" s="11" t="str">
        <x:v>主来源</x:v>
      </x:c>
      <x:c r="C203" s="11" t="str">
        <x:v>官方产品页</x:v>
      </x:c>
      <x:c r="D203" s="11" t="str">
        <x:v>POP UP PARADE Lucy L Size</x:v>
      </x:c>
      <x:c r="E203" s="11" t="str">
        <x:v>具体型号、制造主体、交付规格、材料与尺寸；未知字段保留。</x:v>
      </x:c>
      <x:c r="F203" s="11" t="str">
        <x:v>https://www.goodsmile.com/en/product/1137607</x:v>
      </x:c>
      <x:c r="G203" s="11" t="str">
        <x:v>2026-10-05</x:v>
      </x:c>
      <x:c r="H203" s="11" t="str">
        <x:v>gsc-pop-1137607</x:v>
      </x:c>
    </x:row>
    <x:row r="204" ht="72" customHeight="1">
      <x:c r="A204" s="11" t="str">
        <x:v>POP UP PARADE Guts (Berserker Armor): Bloody Paint Ver. L Size</x:v>
      </x:c>
      <x:c r="B204" s="11" t="str">
        <x:v>主来源</x:v>
      </x:c>
      <x:c r="C204" s="11" t="str">
        <x:v>官方产品页</x:v>
      </x:c>
      <x:c r="D204" s="11" t="str">
        <x:v>POP UP PARADE Guts (Berserker Armor): Bloody Paint Ver. L Size</x:v>
      </x:c>
      <x:c r="E204" s="11" t="str">
        <x:v>具体型号、制造主体、交付规格、材料与尺寸；未知字段保留。</x:v>
      </x:c>
      <x:c r="F204" s="11" t="str">
        <x:v>https://www.goodsmile.com/en/product/1145852</x:v>
      </x:c>
      <x:c r="G204" s="11" t="str">
        <x:v>2026-10-05</x:v>
      </x:c>
      <x:c r="H204" s="11" t="str">
        <x:v>gsc-pop-1145852</x:v>
      </x:c>
    </x:row>
    <x:row r="205" ht="72" customHeight="1">
      <x:c r="A205" s="11" t="str">
        <x:v>POP UP PARADE 赛车初音: 2023 Ver.</x:v>
      </x:c>
      <x:c r="B205" s="11" t="str">
        <x:v>主来源</x:v>
      </x:c>
      <x:c r="C205" s="11" t="str">
        <x:v>官方产品页</x:v>
      </x:c>
      <x:c r="D205" s="11" t="str">
        <x:v>POP UP PARADE Racing Miku: 2023 Ver.</x:v>
      </x:c>
      <x:c r="E205" s="11" t="str">
        <x:v>具体型号、制造主体、交付规格、材料与尺寸；未知字段保留。</x:v>
      </x:c>
      <x:c r="F205" s="11" t="str">
        <x:v>https://www.goodsmile.com/en/product/55958</x:v>
      </x:c>
      <x:c r="G205" s="11" t="str">
        <x:v>2026-10-05</x:v>
      </x:c>
      <x:c r="H205" s="11" t="str">
        <x:v>gsc-pop-55958</x:v>
      </x:c>
    </x:row>
    <x:row r="206" ht="72" customHeight="1">
      <x:c r="A206" s="11" t="str">
        <x:v>POP UP PARADE SP Momon</x:v>
      </x:c>
      <x:c r="B206" s="11" t="str">
        <x:v>主来源</x:v>
      </x:c>
      <x:c r="C206" s="11" t="str">
        <x:v>官方产品页</x:v>
      </x:c>
      <x:c r="D206" s="11" t="str">
        <x:v>POP UP PARADE SP Momon</x:v>
      </x:c>
      <x:c r="E206" s="11" t="str">
        <x:v>具体型号、制造主体、交付规格、材料与尺寸；未知字段保留。</x:v>
      </x:c>
      <x:c r="F206" s="11" t="str">
        <x:v>https://www.goodsmile.com/en/product/1139935</x:v>
      </x:c>
      <x:c r="G206" s="11" t="str">
        <x:v>2026-10-05</x:v>
      </x:c>
      <x:c r="H206" s="11" t="str">
        <x:v>gsc-pop-1139935</x:v>
      </x:c>
    </x:row>
    <x:row r="207" ht="72" customHeight="1">
      <x:c r="A207" s="11" t="str">
        <x:v>POP UP PARADE Daiwa Scarlet L Size</x:v>
      </x:c>
      <x:c r="B207" s="11" t="str">
        <x:v>主来源</x:v>
      </x:c>
      <x:c r="C207" s="11" t="str">
        <x:v>官方产品页</x:v>
      </x:c>
      <x:c r="D207" s="11" t="str">
        <x:v>POP UP PARADE Daiwa Scarlet L Size</x:v>
      </x:c>
      <x:c r="E207" s="11" t="str">
        <x:v>具体型号、制造主体、交付规格、材料与尺寸；未知字段保留。</x:v>
      </x:c>
      <x:c r="F207" s="11" t="str">
        <x:v>https://www.goodsmile.com/en/product/1136848</x:v>
      </x:c>
      <x:c r="G207" s="11" t="str">
        <x:v>2026-10-05</x:v>
      </x:c>
      <x:c r="H207" s="11" t="str">
        <x:v>gsc-pop-1136848</x:v>
      </x:c>
    </x:row>
    <x:row r="208" ht="72" customHeight="1">
      <x:c r="A208" s="11" t="str">
        <x:v>POP UP PARADE Dorothy Haze L Size</x:v>
      </x:c>
      <x:c r="B208" s="11" t="str">
        <x:v>主来源</x:v>
      </x:c>
      <x:c r="C208" s="11" t="str">
        <x:v>官方产品页</x:v>
      </x:c>
      <x:c r="D208" s="11" t="str">
        <x:v>POP UP PARADE Dorothy Haze L Size</x:v>
      </x:c>
      <x:c r="E208" s="11" t="str">
        <x:v>具体型号、制造主体、交付规格、材料与尺寸；未知字段保留。</x:v>
      </x:c>
      <x:c r="F208" s="11" t="str">
        <x:v>https://www.goodsmile.com/en/product/1139391</x:v>
      </x:c>
      <x:c r="G208" s="11" t="str">
        <x:v>2026-10-05</x:v>
      </x:c>
      <x:c r="H208" s="11" t="str">
        <x:v>gsc-pop-1139391</x:v>
      </x:c>
    </x:row>
    <x:row r="209" ht="72" customHeight="1">
      <x:c r="A209" s="11" t="str">
        <x:v>POP UP PARADE Dorothy Haze: Another Skin Ver. L Size</x:v>
      </x:c>
      <x:c r="B209" s="11" t="str">
        <x:v>主来源</x:v>
      </x:c>
      <x:c r="C209" s="11" t="str">
        <x:v>官方产品页</x:v>
      </x:c>
      <x:c r="D209" s="11" t="str">
        <x:v>POP UP PARADE Dorothy Haze: Another Skin Ver. L Size</x:v>
      </x:c>
      <x:c r="E209" s="11" t="str">
        <x:v>具体型号、制造主体、交付规格、材料与尺寸；未知字段保留。</x:v>
      </x:c>
      <x:c r="F209" s="11" t="str">
        <x:v>https://www.goodsmile.com/en/product/1139433</x:v>
      </x:c>
      <x:c r="G209" s="11" t="str">
        <x:v>2026-10-05</x:v>
      </x:c>
      <x:c r="H209" s="11" t="str">
        <x:v>gsc-pop-1139433</x:v>
      </x:c>
    </x:row>
    <x:row r="210" ht="72" customHeight="1">
      <x:c r="A210" s="11" t="str">
        <x:v>POP UP PARADE Saya L Size</x:v>
      </x:c>
      <x:c r="B210" s="11" t="str">
        <x:v>主来源</x:v>
      </x:c>
      <x:c r="C210" s="11" t="str">
        <x:v>官方产品页</x:v>
      </x:c>
      <x:c r="D210" s="11" t="str">
        <x:v>POP UP PARADE Saya L Size</x:v>
      </x:c>
      <x:c r="E210" s="11" t="str">
        <x:v>具体型号、制造主体、交付规格、材料与尺寸；未知字段保留。</x:v>
      </x:c>
      <x:c r="F210" s="11" t="str">
        <x:v>https://www.goodsmile.com/en/product/1136656</x:v>
      </x:c>
      <x:c r="G210" s="11" t="str">
        <x:v>2026-10-05</x:v>
      </x:c>
      <x:c r="H210" s="11" t="str">
        <x:v>gsc-pop-1136656</x:v>
      </x:c>
    </x:row>
    <x:row r="211" ht="72" customHeight="1">
      <x:c r="A211" s="11" t="str">
        <x:v>POP UP PARADE Sherry Tachibana L Size</x:v>
      </x:c>
      <x:c r="B211" s="11" t="str">
        <x:v>主来源</x:v>
      </x:c>
      <x:c r="C211" s="11" t="str">
        <x:v>官方产品页</x:v>
      </x:c>
      <x:c r="D211" s="11" t="str">
        <x:v>POP UP PARADE Sherry Tachibana L Size</x:v>
      </x:c>
      <x:c r="E211" s="11" t="str">
        <x:v>具体型号、制造主体、交付规格、材料与尺寸；未知字段保留。</x:v>
      </x:c>
      <x:c r="F211" s="11" t="str">
        <x:v>https://www.goodsmile.com/en/product/1144886</x:v>
      </x:c>
      <x:c r="G211" s="11" t="str">
        <x:v>2026-10-05</x:v>
      </x:c>
      <x:c r="H211" s="11" t="str">
        <x:v>gsc-pop-1144886</x:v>
      </x:c>
    </x:row>
    <x:row r="212" ht="72" customHeight="1">
      <x:c r="A212" s="11" t="str">
        <x:v>POP UP PARADE SP Assassin/"First Hassan"</x:v>
      </x:c>
      <x:c r="B212" s="11" t="str">
        <x:v>主来源</x:v>
      </x:c>
      <x:c r="C212" s="11" t="str">
        <x:v>官方产品页</x:v>
      </x:c>
      <x:c r="D212" s="11" t="str">
        <x:v>POP UP PARADE SP Assassin/"First Hassan"</x:v>
      </x:c>
      <x:c r="E212" s="11" t="str">
        <x:v>具体型号、制造主体、交付规格、材料与尺寸；未知字段保留。</x:v>
      </x:c>
      <x:c r="F212" s="11" t="str">
        <x:v>https://www.goodsmile.com/en/product/61723</x:v>
      </x:c>
      <x:c r="G212" s="11" t="str">
        <x:v>2026-10-05</x:v>
      </x:c>
      <x:c r="H212" s="11" t="str">
        <x:v>gsc-pop-61723</x:v>
      </x:c>
    </x:row>
    <x:row r="213" ht="72" customHeight="1">
      <x:c r="A213" s="11" t="str">
        <x:v>POP UP PARADE Hiro Nikaido L Size</x:v>
      </x:c>
      <x:c r="B213" s="11" t="str">
        <x:v>主来源</x:v>
      </x:c>
      <x:c r="C213" s="11" t="str">
        <x:v>官方产品页</x:v>
      </x:c>
      <x:c r="D213" s="11" t="str">
        <x:v>POP UP PARADE Hiro Nikaido L Size</x:v>
      </x:c>
      <x:c r="E213" s="11" t="str">
        <x:v>具体型号、制造主体、交付规格、材料与尺寸；未知字段保留。</x:v>
      </x:c>
      <x:c r="F213" s="11" t="str">
        <x:v>https://www.goodsmile.com/en/product/1144885</x:v>
      </x:c>
      <x:c r="G213" s="11" t="str">
        <x:v>2026-10-05</x:v>
      </x:c>
      <x:c r="H213" s="11" t="str">
        <x:v>gsc-pop-1144885</x:v>
      </x:c>
    </x:row>
    <x:row r="214" ht="72" customHeight="1">
      <x:c r="A214" s="11" t="str">
        <x:v>POP UP PARADE Yuzu (Maid)</x:v>
      </x:c>
      <x:c r="B214" s="11" t="str">
        <x:v>主来源</x:v>
      </x:c>
      <x:c r="C214" s="11" t="str">
        <x:v>官方产品页</x:v>
      </x:c>
      <x:c r="D214" s="11" t="str">
        <x:v>POP UP PARADE Yuzu (Maid)</x:v>
      </x:c>
      <x:c r="E214" s="11" t="str">
        <x:v>具体型号、制造主体、交付规格、材料与尺寸；未知字段保留。</x:v>
      </x:c>
      <x:c r="F214" s="11" t="str">
        <x:v>https://www.goodsmile.com/en/product/1143802</x:v>
      </x:c>
      <x:c r="G214" s="11" t="str">
        <x:v>2026-10-05</x:v>
      </x:c>
      <x:c r="H214" s="11" t="str">
        <x:v>gsc-pop-1143802</x:v>
      </x:c>
    </x:row>
    <x:row r="215" ht="72" customHeight="1">
      <x:c r="A215" s="11" t="str">
        <x:v>POP UP PARADE Zero Two L Size</x:v>
      </x:c>
      <x:c r="B215" s="11" t="str">
        <x:v>主来源</x:v>
      </x:c>
      <x:c r="C215" s="11" t="str">
        <x:v>官方产品页</x:v>
      </x:c>
      <x:c r="D215" s="11" t="str">
        <x:v>POP UP PARADE Zero Two L Size</x:v>
      </x:c>
      <x:c r="E215" s="11" t="str">
        <x:v>具体型号、制造主体、交付规格、材料与尺寸；未知字段保留。</x:v>
      </x:c>
      <x:c r="F215" s="11" t="str">
        <x:v>https://www.goodsmile.com/en/product/1137698</x:v>
      </x:c>
      <x:c r="G215" s="11" t="str">
        <x:v>2026-10-05</x:v>
      </x:c>
      <x:c r="H215" s="11" t="str">
        <x:v>gsc-pop-1137698</x:v>
      </x:c>
    </x:row>
    <x:row r="216" ht="72" customHeight="1">
      <x:c r="A216" s="11" t="str">
        <x:v>POP UP PARADE SP Void</x:v>
      </x:c>
      <x:c r="B216" s="11" t="str">
        <x:v>主来源</x:v>
      </x:c>
      <x:c r="C216" s="11" t="str">
        <x:v>官方产品页</x:v>
      </x:c>
      <x:c r="D216" s="11" t="str">
        <x:v>POP UP PARADE SP Void</x:v>
      </x:c>
      <x:c r="E216" s="11" t="str">
        <x:v>具体型号、制造主体、交付规格、材料与尺寸；未知字段保留。</x:v>
      </x:c>
      <x:c r="F216" s="11" t="str">
        <x:v>https://www.goodsmile.com/en/product/1145188</x:v>
      </x:c>
      <x:c r="G216" s="11" t="str">
        <x:v>2026-10-05</x:v>
      </x:c>
      <x:c r="H216" s="11" t="str">
        <x:v>gsc-pop-1145188</x:v>
      </x:c>
    </x:row>
    <x:row r="217" ht="72" customHeight="1">
      <x:c r="A217" s="11" t="str">
        <x:v>POP UP PARADE Alastor: Another Color Ver.</x:v>
      </x:c>
      <x:c r="B217" s="11" t="str">
        <x:v>主来源</x:v>
      </x:c>
      <x:c r="C217" s="11" t="str">
        <x:v>官方产品页</x:v>
      </x:c>
      <x:c r="D217" s="11" t="str">
        <x:v>POP UP PARADE Alastor: Another Color Ver.</x:v>
      </x:c>
      <x:c r="E217" s="11" t="str">
        <x:v>具体型号、制造主体、交付规格、材料与尺寸；未知字段保留。</x:v>
      </x:c>
      <x:c r="F217" s="11" t="str">
        <x:v>https://www.goodsmile.com/en/product/1143892</x:v>
      </x:c>
      <x:c r="G217" s="11" t="str">
        <x:v>2026-10-05</x:v>
      </x:c>
      <x:c r="H217" s="11" t="str">
        <x:v>gsc-pop-1143892</x:v>
      </x:c>
    </x:row>
    <x:row r="218" ht="72" customHeight="1">
      <x:c r="A218" s="11" t="str">
        <x:v>POP UP PARADE Polyester &amp; Polyurethane Set</x:v>
      </x:c>
      <x:c r="B218" s="11" t="str">
        <x:v>主来源</x:v>
      </x:c>
      <x:c r="C218" s="11" t="str">
        <x:v>官方产品页</x:v>
      </x:c>
      <x:c r="D218" s="11" t="str">
        <x:v>POP UP PARADE Polyester &amp; Polyurethane Set</x:v>
      </x:c>
      <x:c r="E218" s="11" t="str">
        <x:v>具体型号、制造主体、交付规格、材料与尺寸；未知字段保留。</x:v>
      </x:c>
      <x:c r="F218" s="11" t="str">
        <x:v>https://www.goodsmile.com/en/product/1142460</x:v>
      </x:c>
      <x:c r="G218" s="11" t="str">
        <x:v>2026-10-05</x:v>
      </x:c>
      <x:c r="H218" s="11" t="str">
        <x:v>gsc-pop-1142460</x:v>
      </x:c>
    </x:row>
    <x:row r="219" ht="72" customHeight="1">
      <x:c r="A219" s="11" t="str">
        <x:v>POP UP PARADE Polyester</x:v>
      </x:c>
      <x:c r="B219" s="11" t="str">
        <x:v>主来源</x:v>
      </x:c>
      <x:c r="C219" s="11" t="str">
        <x:v>官方产品页</x:v>
      </x:c>
      <x:c r="D219" s="11" t="str">
        <x:v>POP UP PARADE Polyester</x:v>
      </x:c>
      <x:c r="E219" s="11" t="str">
        <x:v>具体型号、制造主体、交付规格、材料与尺寸；未知字段保留。</x:v>
      </x:c>
      <x:c r="F219" s="11" t="str">
        <x:v>https://www.goodsmile.com/en/product/1142459</x:v>
      </x:c>
      <x:c r="G219" s="11" t="str">
        <x:v>2026-10-05</x:v>
      </x:c>
      <x:c r="H219" s="11" t="str">
        <x:v>gsc-pop-1142459</x:v>
      </x:c>
    </x:row>
    <x:row r="220" ht="72" customHeight="1">
      <x:c r="A220" s="11" t="str">
        <x:v>POP UP PARADE Polyurethane</x:v>
      </x:c>
      <x:c r="B220" s="11" t="str">
        <x:v>主来源</x:v>
      </x:c>
      <x:c r="C220" s="11" t="str">
        <x:v>官方产品页</x:v>
      </x:c>
      <x:c r="D220" s="11" t="str">
        <x:v>POP UP PARADE Polyurethane</x:v>
      </x:c>
      <x:c r="E220" s="11" t="str">
        <x:v>具体型号、制造主体、交付规格、材料与尺寸；未知字段保留。</x:v>
      </x:c>
      <x:c r="F220" s="11" t="str">
        <x:v>https://www.goodsmile.com/en/product/1142458</x:v>
      </x:c>
      <x:c r="G220" s="11" t="str">
        <x:v>2026-10-05</x:v>
      </x:c>
      <x:c r="H220" s="11" t="str">
        <x:v>gsc-pop-1142458</x:v>
      </x:c>
    </x:row>
    <x:row r="221" ht="72" customHeight="1">
      <x:c r="A221" s="11" t="str">
        <x:v>POP UP PARADE Aura</x:v>
      </x:c>
      <x:c r="B221" s="11" t="str">
        <x:v>主来源</x:v>
      </x:c>
      <x:c r="C221" s="11" t="str">
        <x:v>官方产品页</x:v>
      </x:c>
      <x:c r="D221" s="11" t="str">
        <x:v>POP UP PARADE Aura</x:v>
      </x:c>
      <x:c r="E221" s="11" t="str">
        <x:v>具体型号、制造主体、交付规格、材料与尺寸；未知字段保留。</x:v>
      </x:c>
      <x:c r="F221" s="11" t="str">
        <x:v>https://www.goodsmile.com/en/product/1137013</x:v>
      </x:c>
      <x:c r="G221" s="11" t="str">
        <x:v>2026-10-05</x:v>
      </x:c>
      <x:c r="H221" s="11" t="str">
        <x:v>gsc-pop-1137013</x:v>
      </x:c>
    </x:row>
    <x:row r="222" ht="72" customHeight="1">
      <x:c r="A222" s="11" t="str">
        <x:v>POP UP PARADE SP Cutie Honey</x:v>
      </x:c>
      <x:c r="B222" s="11" t="str">
        <x:v>主来源</x:v>
      </x:c>
      <x:c r="C222" s="11" t="str">
        <x:v>官方产品页</x:v>
      </x:c>
      <x:c r="D222" s="11" t="str">
        <x:v>POP UP PARADE SP Cutie Honey</x:v>
      </x:c>
      <x:c r="E222" s="11" t="str">
        <x:v>具体型号、制造主体、交付规格、材料与尺寸；未知字段保留。</x:v>
      </x:c>
      <x:c r="F222" s="11" t="str">
        <x:v>https://www.goodsmile.com/en/product/1142837</x:v>
      </x:c>
      <x:c r="G222" s="11" t="str">
        <x:v>2026-10-05</x:v>
      </x:c>
      <x:c r="H222" s="11" t="str">
        <x:v>gsc-pop-1142837</x:v>
      </x:c>
    </x:row>
    <x:row r="223" ht="72" customHeight="1">
      <x:c r="A223" s="11" t="str">
        <x:v>chitocerium chirality I-hydra</x:v>
      </x:c>
      <x:c r="B223" s="11" t="str">
        <x:v>主来源</x:v>
      </x:c>
      <x:c r="C223" s="11" t="str">
        <x:v>官方产品页</x:v>
      </x:c>
      <x:c r="D223" s="11" t="str">
        <x:v>chitocerium chirality I-hydra</x:v>
      </x:c>
      <x:c r="E223" s="11" t="str">
        <x:v>具体型号、制造主体、交付规格、材料与尺寸；未知字段保留。</x:v>
      </x:c>
      <x:c r="F223" s="11" t="str">
        <x:v>https://www.goodsmile.com/en/product/1138464</x:v>
      </x:c>
      <x:c r="G223" s="11" t="str">
        <x:v>2026-10-05</x:v>
      </x:c>
      <x:c r="H223" s="11" t="str">
        <x:v>gsc-chito-1138464</x:v>
      </x:c>
    </x:row>
    <x:row r="224" ht="72" customHeight="1">
      <x:c r="A224" s="11" t="str">
        <x:v>chitocerium I-hydra</x:v>
      </x:c>
      <x:c r="B224" s="11" t="str">
        <x:v>主来源</x:v>
      </x:c>
      <x:c r="C224" s="11" t="str">
        <x:v>官方产品页</x:v>
      </x:c>
      <x:c r="D224" s="11" t="str">
        <x:v>chitocerium I-hydra</x:v>
      </x:c>
      <x:c r="E224" s="11" t="str">
        <x:v>具体型号、制造主体、交付规格、材料与尺寸；未知字段保留。</x:v>
      </x:c>
      <x:c r="F224" s="11" t="str">
        <x:v>https://www.goodsmile.com/en/product/59941</x:v>
      </x:c>
      <x:c r="G224" s="11" t="str">
        <x:v>2026-10-05</x:v>
      </x:c>
      <x:c r="H224" s="11" t="str">
        <x:v>gsc-chito-59941</x:v>
      </x:c>
    </x:row>
    <x:row r="225" ht="72" customHeight="1">
      <x:c r="A225" s="11" t="str">
        <x:v>chitocerium VI-carbonia graphites</x:v>
      </x:c>
      <x:c r="B225" s="11" t="str">
        <x:v>主来源</x:v>
      </x:c>
      <x:c r="C225" s="11" t="str">
        <x:v>官方产品页</x:v>
      </x:c>
      <x:c r="D225" s="11" t="str">
        <x:v>chitocerium VI-carbonia graphites</x:v>
      </x:c>
      <x:c r="E225" s="11" t="str">
        <x:v>具体型号、制造主体、交付规格、材料与尺寸；未知字段保留。</x:v>
      </x:c>
      <x:c r="F225" s="11" t="str">
        <x:v>https://www.goodsmile.com/en/product/12146</x:v>
      </x:c>
      <x:c r="G225" s="11" t="str">
        <x:v>2026-10-05</x:v>
      </x:c>
      <x:c r="H225" s="11" t="str">
        <x:v>gsc-chito-12146</x:v>
      </x:c>
    </x:row>
    <x:row r="226" ht="72" customHeight="1">
      <x:c r="A226" s="11" t="str">
        <x:v>chitocerium LXXVIII-platinum 1.5</x:v>
      </x:c>
      <x:c r="B226" s="11" t="str">
        <x:v>主来源</x:v>
      </x:c>
      <x:c r="C226" s="11" t="str">
        <x:v>官方产品页</x:v>
      </x:c>
      <x:c r="D226" s="11" t="str">
        <x:v>chitocerium LXXVIII-platinum 1.5</x:v>
      </x:c>
      <x:c r="E226" s="11" t="str">
        <x:v>具体型号、制造主体、交付规格、材料与尺寸；未知字段保留。</x:v>
      </x:c>
      <x:c r="F226" s="11" t="str">
        <x:v>https://www.goodsmile.com/en/product/10892</x:v>
      </x:c>
      <x:c r="G226" s="11" t="str">
        <x:v>2026-10-05</x:v>
      </x:c>
      <x:c r="H226" s="11" t="str">
        <x:v>gsc-chito-10892</x:v>
      </x:c>
    </x:row>
    <x:row r="227" ht="72" customHeight="1">
      <x:c r="A227" s="11" t="str">
        <x:v>chitocerium nightmare XCIX-albere &amp; C-efer</x:v>
      </x:c>
      <x:c r="B227" s="11" t="str">
        <x:v>主来源</x:v>
      </x:c>
      <x:c r="C227" s="11" t="str">
        <x:v>官方产品页</x:v>
      </x:c>
      <x:c r="D227" s="11" t="str">
        <x:v>chitocerium nightmare XCIX-albere &amp; C-efer</x:v>
      </x:c>
      <x:c r="E227" s="11" t="str">
        <x:v>具体型号、制造主体、交付规格、材料与尺寸；未知字段保留。</x:v>
      </x:c>
      <x:c r="F227" s="11" t="str">
        <x:v>https://www.goodsmile.com/en/product/10241</x:v>
      </x:c>
      <x:c r="G227" s="11" t="str">
        <x:v>2026-10-05</x:v>
      </x:c>
      <x:c r="H227" s="11" t="str">
        <x:v>gsc-chito-10241</x:v>
      </x:c>
    </x:row>
    <x:row r="228" ht="72" customHeight="1">
      <x:c r="A228" s="11" t="str">
        <x:v>chitocerium XCII-urania</x:v>
      </x:c>
      <x:c r="B228" s="11" t="str">
        <x:v>主来源</x:v>
      </x:c>
      <x:c r="C228" s="11" t="str">
        <x:v>官方产品页</x:v>
      </x:c>
      <x:c r="D228" s="11" t="str">
        <x:v>chitocerium XCII-urania</x:v>
      </x:c>
      <x:c r="E228" s="11" t="str">
        <x:v>具体型号、制造主体、交付规格、材料与尺寸；未知字段保留。</x:v>
      </x:c>
      <x:c r="F228" s="11" t="str">
        <x:v>https://www.goodsmile.com/en/product/9766</x:v>
      </x:c>
      <x:c r="G228" s="11" t="str">
        <x:v>2026-10-05</x:v>
      </x:c>
      <x:c r="H228" s="11" t="str">
        <x:v>gsc-chito-9766</x:v>
      </x:c>
    </x:row>
    <x:row r="229" ht="72" customHeight="1">
      <x:c r="A229" s="11" t="str">
        <x:v>chitocerium VI-carbonia adamas</x:v>
      </x:c>
      <x:c r="B229" s="11" t="str">
        <x:v>主来源</x:v>
      </x:c>
      <x:c r="C229" s="11" t="str">
        <x:v>官方产品页</x:v>
      </x:c>
      <x:c r="D229" s="11" t="str">
        <x:v>chitocerium VI-carbonia adamas</x:v>
      </x:c>
      <x:c r="E229" s="11" t="str">
        <x:v>具体型号、制造主体、交付规格、材料与尺寸；未知字段保留。</x:v>
      </x:c>
      <x:c r="F229" s="11" t="str">
        <x:v>https://www.goodsmile.com/en/product/6300</x:v>
      </x:c>
      <x:c r="G229" s="11" t="str">
        <x:v>2026-10-05</x:v>
      </x:c>
      <x:c r="H229" s="11" t="str">
        <x:v>gsc-chito-6300</x:v>
      </x:c>
    </x:row>
    <x:row r="230" ht="72" customHeight="1">
      <x:c r="A230" s="11" t="str">
        <x:v>chitocerium XCIX-albere &amp; C-efer</x:v>
      </x:c>
      <x:c r="B230" s="11" t="str">
        <x:v>主来源</x:v>
      </x:c>
      <x:c r="C230" s="11" t="str">
        <x:v>官方产品页</x:v>
      </x:c>
      <x:c r="D230" s="11" t="str">
        <x:v>chitocerium XCIX-albere &amp; C-efer</x:v>
      </x:c>
      <x:c r="E230" s="11" t="str">
        <x:v>具体型号、制造主体、交付规格、材料与尺寸；未知字段保留。</x:v>
      </x:c>
      <x:c r="F230" s="11" t="str">
        <x:v>https://www.goodsmile.com/en/product/32646</x:v>
      </x:c>
      <x:c r="G230" s="11" t="str">
        <x:v>2026-10-05</x:v>
      </x:c>
      <x:c r="H230" s="11" t="str">
        <x:v>gsc-chito-32646</x:v>
      </x:c>
    </x:row>
    <x:row r="231" ht="72" customHeight="1">
      <x:c r="A231" s="11" t="str">
        <x:v>chitocerium LXXVIII-platinum</x:v>
      </x:c>
      <x:c r="B231" s="11" t="str">
        <x:v>主来源</x:v>
      </x:c>
      <x:c r="C231" s="11" t="str">
        <x:v>官方产品页</x:v>
      </x:c>
      <x:c r="D231" s="11" t="str">
        <x:v>chitocerium LXXVIII-platinum</x:v>
      </x:c>
      <x:c r="E231" s="11" t="str">
        <x:v>具体型号、制造主体、交付规格、材料与尺寸；未知字段保留。</x:v>
      </x:c>
      <x:c r="F231" s="11" t="str">
        <x:v>https://www.goodsmile.com/en/product/5770</x:v>
      </x:c>
      <x:c r="G231" s="11" t="str">
        <x:v>2026-10-05</x:v>
      </x:c>
      <x:c r="H231" s="11" t="str">
        <x:v>gsc-chito-5770</x:v>
      </x:c>
    </x:row>
    <x:row r="232" ht="72" customHeight="1">
      <x:c r="A232" s="11" t="str">
        <x:v>chitocerium VI-carbonia lonsdaleite</x:v>
      </x:c>
      <x:c r="B232" s="11" t="str">
        <x:v>主来源</x:v>
      </x:c>
      <x:c r="C232" s="11" t="str">
        <x:v>官方产品页</x:v>
      </x:c>
      <x:c r="D232" s="11" t="str">
        <x:v>chitocerium VI-carbonia lonsdaleite</x:v>
      </x:c>
      <x:c r="E232" s="11" t="str">
        <x:v>具体型号、制造主体、交付规格、材料与尺寸；未知字段保留。</x:v>
      </x:c>
      <x:c r="F232" s="11" t="str">
        <x:v>https://www.goodsmile.com/en/product/7116</x:v>
      </x:c>
      <x:c r="G232" s="11" t="str">
        <x:v>2026-10-05</x:v>
      </x:c>
      <x:c r="H232" s="11" t="str">
        <x:v>gsc-chito-7116</x:v>
      </x:c>
    </x:row>
    <x:row r="233" ht="72" customHeight="1">
      <x:c r="A233" s="11" t="str">
        <x:v>PLAMATEA Mari Makinami Illustrious</x:v>
      </x:c>
      <x:c r="B233" s="11" t="str">
        <x:v>主来源</x:v>
      </x:c>
      <x:c r="C233" s="11" t="str">
        <x:v>官方产品页</x:v>
      </x:c>
      <x:c r="D233" s="11" t="str">
        <x:v>PLAMATEA Mari Makinami Illustrious</x:v>
      </x:c>
      <x:c r="E233" s="11" t="str">
        <x:v>具体型号、制造主体、交付规格、材料与尺寸；未知字段保留。</x:v>
      </x:c>
      <x:c r="F233" s="11" t="str">
        <x:v>https://www.goodsmile.com/en/product/1139093</x:v>
      </x:c>
      <x:c r="G233" s="11" t="str">
        <x:v>2026-10-05</x:v>
      </x:c>
      <x:c r="H233" s="11" t="str">
        <x:v>gsc-plamatea-1139093</x:v>
      </x:c>
    </x:row>
    <x:row r="234" ht="72" customHeight="1">
      <x:c r="A234" s="11" t="str">
        <x:v>PLAMATEA Armored Soldier of Unknown Affiliation</x:v>
      </x:c>
      <x:c r="B234" s="11" t="str">
        <x:v>主来源</x:v>
      </x:c>
      <x:c r="C234" s="11" t="str">
        <x:v>官方产品页</x:v>
      </x:c>
      <x:c r="D234" s="11" t="str">
        <x:v>PLAMATEA Armored Soldier of Unknown Affiliation</x:v>
      </x:c>
      <x:c r="E234" s="11" t="str">
        <x:v>具体型号、制造主体、交付规格、材料与尺寸；未知字段保留。</x:v>
      </x:c>
      <x:c r="F234" s="11" t="str">
        <x:v>https://www.goodsmile.com/en/product/1139114</x:v>
      </x:c>
      <x:c r="G234" s="11" t="str">
        <x:v>2026-10-05</x:v>
      </x:c>
      <x:c r="H234" s="11" t="str">
        <x:v>gsc-plamatea-1139114</x:v>
      </x:c>
    </x:row>
    <x:row r="235" ht="72" customHeight="1">
      <x:c r="A235" s="11" t="str">
        <x:v>PLAMATEA Hurricane Honey</x:v>
      </x:c>
      <x:c r="B235" s="11" t="str">
        <x:v>主来源</x:v>
      </x:c>
      <x:c r="C235" s="11" t="str">
        <x:v>官方产品页</x:v>
      </x:c>
      <x:c r="D235" s="11" t="str">
        <x:v>PLAMATEA Hurricane Honey</x:v>
      </x:c>
      <x:c r="E235" s="11" t="str">
        <x:v>具体型号、制造主体、交付规格、材料与尺寸；未知字段保留。</x:v>
      </x:c>
      <x:c r="F235" s="11" t="str">
        <x:v>https://www.goodsmile.com/en/product/1145409</x:v>
      </x:c>
      <x:c r="G235" s="11" t="str">
        <x:v>2026-10-05</x:v>
      </x:c>
      <x:c r="H235" s="11" t="str">
        <x:v>gsc-plamatea-1145409</x:v>
      </x:c>
    </x:row>
    <x:row r="236" ht="72" customHeight="1">
      <x:c r="A236" s="11" t="str">
        <x:v>PLAMATEA Honey Chaser</x:v>
      </x:c>
      <x:c r="B236" s="11" t="str">
        <x:v>主来源</x:v>
      </x:c>
      <x:c r="C236" s="11" t="str">
        <x:v>官方产品页</x:v>
      </x:c>
      <x:c r="D236" s="11" t="str">
        <x:v>PLAMATEA Honey Chaser</x:v>
      </x:c>
      <x:c r="E236" s="11" t="str">
        <x:v>具体型号、制造主体、交付规格、材料与尺寸；未知字段保留。</x:v>
      </x:c>
      <x:c r="F236" s="11" t="str">
        <x:v>https://www.goodsmile.com/en/product/1138610</x:v>
      </x:c>
      <x:c r="G236" s="11" t="str">
        <x:v>2026-10-05</x:v>
      </x:c>
      <x:c r="H236" s="11" t="str">
        <x:v>gsc-plamatea-1138610</x:v>
      </x:c>
    </x:row>
    <x:row r="237" ht="72" customHeight="1">
      <x:c r="A237" s="11" t="str">
        <x:v>PLAMATEA Kongo Kai-II C</x:v>
      </x:c>
      <x:c r="B237" s="11" t="str">
        <x:v>主来源</x:v>
      </x:c>
      <x:c r="C237" s="11" t="str">
        <x:v>官方产品页</x:v>
      </x:c>
      <x:c r="D237" s="11" t="str">
        <x:v>PLAMATEA Kongo Kai-II C</x:v>
      </x:c>
      <x:c r="E237" s="11" t="str">
        <x:v>具体型号、制造主体、交付规格、材料与尺寸；未知字段保留。</x:v>
      </x:c>
      <x:c r="F237" s="11" t="str">
        <x:v>https://www.goodsmile.com/en/product/1137954</x:v>
      </x:c>
      <x:c r="G237" s="11" t="str">
        <x:v>2026-10-05</x:v>
      </x:c>
      <x:c r="H237" s="11" t="str">
        <x:v>gsc-plamatea-1137954</x:v>
      </x:c>
    </x:row>
    <x:row r="238" ht="72" customHeight="1">
      <x:c r="A238" s="11" t="str">
        <x:v>PLAMATEA Yachiyo</x:v>
      </x:c>
      <x:c r="B238" s="11" t="str">
        <x:v>主来源</x:v>
      </x:c>
      <x:c r="C238" s="11" t="str">
        <x:v>官方产品页</x:v>
      </x:c>
      <x:c r="D238" s="11" t="str">
        <x:v>PLAMATEA Yachiyo</x:v>
      </x:c>
      <x:c r="E238" s="11" t="str">
        <x:v>具体型号、制造主体、交付规格、材料与尺寸；未知字段保留。</x:v>
      </x:c>
      <x:c r="F238" s="11" t="str">
        <x:v>https://www.goodsmile.com/en/product/1142817</x:v>
      </x:c>
      <x:c r="G238" s="11" t="str">
        <x:v>2026-10-05</x:v>
      </x:c>
      <x:c r="H238" s="11" t="str">
        <x:v>gsc-plamatea-1142817</x:v>
      </x:c>
    </x:row>
    <x:row r="239" ht="72" customHeight="1">
      <x:c r="A239" s="11" t="str">
        <x:v>PLAMATEA Cutie Honey: Prism Crystal Ver.</x:v>
      </x:c>
      <x:c r="B239" s="11" t="str">
        <x:v>主来源</x:v>
      </x:c>
      <x:c r="C239" s="11" t="str">
        <x:v>官方产品页</x:v>
      </x:c>
      <x:c r="D239" s="11" t="str">
        <x:v>PLAMATEA Cutie Honey: Prism Crystal Ver.</x:v>
      </x:c>
      <x:c r="E239" s="11" t="str">
        <x:v>具体型号、制造主体、交付规格、材料与尺寸；未知字段保留。</x:v>
      </x:c>
      <x:c r="F239" s="11" t="str">
        <x:v>https://www.goodsmile.com/en/product/1142140</x:v>
      </x:c>
      <x:c r="G239" s="11" t="str">
        <x:v>2026-10-05</x:v>
      </x:c>
      <x:c r="H239" s="11" t="str">
        <x:v>gsc-plamatea-1142140</x:v>
      </x:c>
    </x:row>
    <x:row r="240" ht="72" customHeight="1">
      <x:c r="A240" s="11" t="str">
        <x:v>PLAMATEA Guy Shishioh</x:v>
      </x:c>
      <x:c r="B240" s="11" t="str">
        <x:v>主来源</x:v>
      </x:c>
      <x:c r="C240" s="11" t="str">
        <x:v>官方产品页</x:v>
      </x:c>
      <x:c r="D240" s="11" t="str">
        <x:v>PLAMATEA Guy Shishioh</x:v>
      </x:c>
      <x:c r="E240" s="11" t="str">
        <x:v>具体型号、制造主体、交付规格、材料与尺寸；未知字段保留。</x:v>
      </x:c>
      <x:c r="F240" s="11" t="str">
        <x:v>https://www.goodsmile.com/en/product/1136972</x:v>
      </x:c>
      <x:c r="G240" s="11" t="str">
        <x:v>2026-10-05</x:v>
      </x:c>
      <x:c r="H240" s="11" t="str">
        <x:v>gsc-plamatea-1136972</x:v>
      </x:c>
    </x:row>
    <x:row r="241" ht="72" customHeight="1">
      <x:c r="A241" s="11" t="str">
        <x:v>PLAMATEA MX-chan</x:v>
      </x:c>
      <x:c r="B241" s="11" t="str">
        <x:v>主来源</x:v>
      </x:c>
      <x:c r="C241" s="11" t="str">
        <x:v>官方产品页</x:v>
      </x:c>
      <x:c r="D241" s="11" t="str">
        <x:v>PLAMATEA MX-chan</x:v>
      </x:c>
      <x:c r="E241" s="11" t="str">
        <x:v>具体型号、制造主体、交付规格、材料与尺寸；未知字段保留。</x:v>
      </x:c>
      <x:c r="F241" s="11" t="str">
        <x:v>https://www.goodsmile.com/en/product/1145848</x:v>
      </x:c>
      <x:c r="G241" s="11" t="str">
        <x:v>2026-10-05</x:v>
      </x:c>
      <x:c r="H241" s="11" t="str">
        <x:v>gsc-plamatea-1145848</x:v>
      </x:c>
    </x:row>
    <x:row r="242" ht="72" customHeight="1">
      <x:c r="A242" s="11" t="str">
        <x:v>PLAMATEA Arika Yumemiya</x:v>
      </x:c>
      <x:c r="B242" s="11" t="str">
        <x:v>主来源</x:v>
      </x:c>
      <x:c r="C242" s="11" t="str">
        <x:v>官方产品页</x:v>
      </x:c>
      <x:c r="D242" s="11" t="str">
        <x:v>PLAMATEA Arika Yumemiya</x:v>
      </x:c>
      <x:c r="E242" s="11" t="str">
        <x:v>具体型号、制造主体、交付规格、材料与尺寸；未知字段保留。</x:v>
      </x:c>
      <x:c r="F242" s="11" t="str">
        <x:v>https://www.goodsmile.com/en/product/1138558</x:v>
      </x:c>
      <x:c r="G242" s="11" t="str">
        <x:v>2026-10-05</x:v>
      </x:c>
      <x:c r="H242" s="11" t="str">
        <x:v>gsc-plamatea-1138558</x:v>
      </x:c>
    </x:row>
    <x:row r="243" ht="72" customHeight="1">
      <x:c r="A243" s="11" t="str">
        <x:v>PLAMATEA Shielder/Mash Kyrielight (Ortinax)</x:v>
      </x:c>
      <x:c r="B243" s="11" t="str">
        <x:v>主来源</x:v>
      </x:c>
      <x:c r="C243" s="11" t="str">
        <x:v>官方产品页</x:v>
      </x:c>
      <x:c r="D243" s="11" t="str">
        <x:v>PLAMATEA Shielder/Mash Kyrielight (Ortinax)</x:v>
      </x:c>
      <x:c r="E243" s="11" t="str">
        <x:v>具体型号、制造主体、交付规格、材料与尺寸；未知字段保留。</x:v>
      </x:c>
      <x:c r="F243" s="11" t="str">
        <x:v>https://www.goodsmile.com/en/product/1144549</x:v>
      </x:c>
      <x:c r="G243" s="11" t="str">
        <x:v>2026-10-05</x:v>
      </x:c>
      <x:c r="H243" s="11" t="str">
        <x:v>gsc-plamatea-1144549</x:v>
      </x:c>
    </x:row>
    <x:row r="244" ht="72" customHeight="1">
      <x:c r="A244" s="11" t="str">
        <x:v>PLAMATEA Shielder/Mash Kyrielight (Ortinax) Black Barrel Edition</x:v>
      </x:c>
      <x:c r="B244" s="11" t="str">
        <x:v>主来源</x:v>
      </x:c>
      <x:c r="C244" s="11" t="str">
        <x:v>官方产品页</x:v>
      </x:c>
      <x:c r="D244" s="11" t="str">
        <x:v>PLAMATEA Shielder/Mash Kyrielight (Ortinax) Black Barrel Edition</x:v>
      </x:c>
      <x:c r="E244" s="11" t="str">
        <x:v>具体型号、制造主体、交付规格、材料与尺寸；未知字段保留。</x:v>
      </x:c>
      <x:c r="F244" s="11" t="str">
        <x:v>https://www.goodsmile.com/en/product/1144550</x:v>
      </x:c>
      <x:c r="G244" s="11" t="str">
        <x:v>2026-10-05</x:v>
      </x:c>
      <x:c r="H244" s="11" t="str">
        <x:v>gsc-plamatea-1144550</x:v>
      </x:c>
    </x:row>
    <x:row r="245" ht="72" customHeight="1">
      <x:c r="A245" s="11" t="str">
        <x:v>PLAMATEA Al Azif</x:v>
      </x:c>
      <x:c r="B245" s="11" t="str">
        <x:v>主来源</x:v>
      </x:c>
      <x:c r="C245" s="11" t="str">
        <x:v>官方产品页</x:v>
      </x:c>
      <x:c r="D245" s="11" t="str">
        <x:v>PLAMATEA Al Azif</x:v>
      </x:c>
      <x:c r="E245" s="11" t="str">
        <x:v>具体型号、制造主体、交付规格、材料与尺寸；未知字段保留。</x:v>
      </x:c>
      <x:c r="F245" s="11" t="str">
        <x:v>https://www.goodsmile.com/en/product/1137892</x:v>
      </x:c>
      <x:c r="G245" s="11" t="str">
        <x:v>2026-10-05</x:v>
      </x:c>
      <x:c r="H245" s="11" t="str">
        <x:v>gsc-plamatea-1137892</x:v>
      </x:c>
    </x:row>
    <x:row r="246" ht="72" customHeight="1">
      <x:c r="A246" s="11" t="str">
        <x:v>PLAMATEA 初音未来</x:v>
      </x:c>
      <x:c r="B246" s="11" t="str">
        <x:v>主来源</x:v>
      </x:c>
      <x:c r="C246" s="11" t="str">
        <x:v>官方产品页</x:v>
      </x:c>
      <x:c r="D246" s="11" t="str">
        <x:v>PLAMATEA Hatsune Miku</x:v>
      </x:c>
      <x:c r="E246" s="11" t="str">
        <x:v>具体型号、制造主体、交付规格、材料与尺寸；未知字段保留。</x:v>
      </x:c>
      <x:c r="F246" s="11" t="str">
        <x:v>https://www.goodsmile.com/en/product/1137327</x:v>
      </x:c>
      <x:c r="G246" s="11" t="str">
        <x:v>2026-10-05</x:v>
      </x:c>
      <x:c r="H246" s="11" t="str">
        <x:v>gsc-plamatea-1137327</x:v>
      </x:c>
    </x:row>
    <x:row r="247" ht="72" customHeight="1">
      <x:c r="A247" s="11" t="str">
        <x:v>PLAMATEA Kerry: Bunny Ver.</x:v>
      </x:c>
      <x:c r="B247" s="11" t="str">
        <x:v>主来源</x:v>
      </x:c>
      <x:c r="C247" s="11" t="str">
        <x:v>官方产品页</x:v>
      </x:c>
      <x:c r="D247" s="11" t="str">
        <x:v>PLAMATEA Kerry: Bunny Ver.</x:v>
      </x:c>
      <x:c r="E247" s="11" t="str">
        <x:v>具体型号、制造主体、交付规格、材料与尺寸；未知字段保留。</x:v>
      </x:c>
      <x:c r="F247" s="11" t="str">
        <x:v>https://www.goodsmile.com/en/product/1141570</x:v>
      </x:c>
      <x:c r="G247" s="11" t="str">
        <x:v>2026-10-05</x:v>
      </x:c>
      <x:c r="H247" s="11" t="str">
        <x:v>gsc-plamatea-1141570</x:v>
      </x:c>
    </x:row>
    <x:row r="248" ht="72" customHeight="1">
      <x:c r="A248" s="11" t="str">
        <x:v>PLAMATEA Rei Ayanami</x:v>
      </x:c>
      <x:c r="B248" s="11" t="str">
        <x:v>主来源</x:v>
      </x:c>
      <x:c r="C248" s="11" t="str">
        <x:v>官方产品页</x:v>
      </x:c>
      <x:c r="D248" s="11" t="str">
        <x:v>PLAMATEA Rei Ayanami</x:v>
      </x:c>
      <x:c r="E248" s="11" t="str">
        <x:v>具体型号、制造主体、交付规格、材料与尺寸；未知字段保留。</x:v>
      </x:c>
      <x:c r="F248" s="11" t="str">
        <x:v>https://www.goodsmile.com/en/product/1137923</x:v>
      </x:c>
      <x:c r="G248" s="11" t="str">
        <x:v>2026-10-05</x:v>
      </x:c>
      <x:c r="H248" s="11" t="str">
        <x:v>gsc-plamatea-1137923</x:v>
      </x:c>
    </x:row>
    <x:row r="249" ht="72" customHeight="1">
      <x:c r="A249" s="11" t="str">
        <x:v>PLAMATEA Asuka Shikinami Langley</x:v>
      </x:c>
      <x:c r="B249" s="11" t="str">
        <x:v>主来源</x:v>
      </x:c>
      <x:c r="C249" s="11" t="str">
        <x:v>官方产品页</x:v>
      </x:c>
      <x:c r="D249" s="11" t="str">
        <x:v>PLAMATEA Asuka Shikinami Langley</x:v>
      </x:c>
      <x:c r="E249" s="11" t="str">
        <x:v>具体型号、制造主体、交付规格、材料与尺寸；未知字段保留。</x:v>
      </x:c>
      <x:c r="F249" s="11" t="str">
        <x:v>https://www.goodsmile.com/en/product/1137924</x:v>
      </x:c>
      <x:c r="G249" s="11" t="str">
        <x:v>2026-10-05</x:v>
      </x:c>
      <x:c r="H249" s="11" t="str">
        <x:v>gsc-plamatea-1137924</x:v>
      </x:c>
    </x:row>
    <x:row r="250" ht="72" customHeight="1">
      <x:c r="A250" s="11" t="str">
        <x:v>PLAMATEA Black Honey</x:v>
      </x:c>
      <x:c r="B250" s="11" t="str">
        <x:v>主来源</x:v>
      </x:c>
      <x:c r="C250" s="11" t="str">
        <x:v>官方产品页</x:v>
      </x:c>
      <x:c r="D250" s="11" t="str">
        <x:v>PLAMATEA Black Honey</x:v>
      </x:c>
      <x:c r="E250" s="11" t="str">
        <x:v>具体型号、制造主体、交付规格、材料与尺寸；未知字段保留。</x:v>
      </x:c>
      <x:c r="F250" s="11" t="str">
        <x:v>https://www.goodsmile.com/en/product/1136218</x:v>
      </x:c>
      <x:c r="G250" s="11" t="str">
        <x:v>2026-10-05</x:v>
      </x:c>
      <x:c r="H250" s="11" t="str">
        <x:v>gsc-plamatea-1136218</x:v>
      </x:c>
    </x:row>
    <x:row r="251" ht="72" customHeight="1">
      <x:c r="A251" s="11" t="str">
        <x:v>PLAMATEA T-60 帕瓦 Armor</x:v>
      </x:c>
      <x:c r="B251" s="11" t="str">
        <x:v>主来源</x:v>
      </x:c>
      <x:c r="C251" s="11" t="str">
        <x:v>官方产品页</x:v>
      </x:c>
      <x:c r="D251" s="11" t="str">
        <x:v>PLAMATEA T-60 Power Armor</x:v>
      </x:c>
      <x:c r="E251" s="11" t="str">
        <x:v>具体型号、制造主体、交付规格、材料与尺寸；未知字段保留。</x:v>
      </x:c>
      <x:c r="F251" s="11" t="str">
        <x:v>https://www.goodsmile.com/en/product/1138002</x:v>
      </x:c>
      <x:c r="G251" s="11" t="str">
        <x:v>2026-10-05</x:v>
      </x:c>
      <x:c r="H251" s="11" t="str">
        <x:v>gsc-plamatea-1138002</x:v>
      </x:c>
    </x:row>
    <x:row r="252" ht="72" customHeight="1">
      <x:c r="A252" s="11" t="str">
        <x:v>PLAMATEA Muse Body: Ichika - Silver Bikini Ver.</x:v>
      </x:c>
      <x:c r="B252" s="11" t="str">
        <x:v>主来源</x:v>
      </x:c>
      <x:c r="C252" s="11" t="str">
        <x:v>官方产品页</x:v>
      </x:c>
      <x:c r="D252" s="11" t="str">
        <x:v>PLAMATEA Muse Body: Ichika - Silver Bikini Ver.</x:v>
      </x:c>
      <x:c r="E252" s="11" t="str">
        <x:v>具体型号、制造主体、交付规格、材料与尺寸；未知字段保留。</x:v>
      </x:c>
      <x:c r="F252" s="11" t="str">
        <x:v>https://www.goodsmile.com/en/product/1141879</x:v>
      </x:c>
      <x:c r="G252" s="11" t="str">
        <x:v>2026-10-05</x:v>
      </x:c>
      <x:c r="H252" s="11" t="str">
        <x:v>gsc-plamatea-1141879</x:v>
      </x:c>
    </x:row>
    <x:row r="253" ht="72" customHeight="1">
      <x:c r="A253" s="11" t="str">
        <x:v>PLAMATEA Cutie Honey</x:v>
      </x:c>
      <x:c r="B253" s="11" t="str">
        <x:v>主来源</x:v>
      </x:c>
      <x:c r="C253" s="11" t="str">
        <x:v>官方产品页</x:v>
      </x:c>
      <x:c r="D253" s="11" t="str">
        <x:v>PLAMATEA Cutie Honey</x:v>
      </x:c>
      <x:c r="E253" s="11" t="str">
        <x:v>具体型号、制造主体、交付规格、材料与尺寸；未知字段保留。</x:v>
      </x:c>
      <x:c r="F253" s="11" t="str">
        <x:v>https://www.goodsmile.com/en/product/36286</x:v>
      </x:c>
      <x:c r="G253" s="11" t="str">
        <x:v>2026-10-05</x:v>
      </x:c>
      <x:c r="H253" s="11" t="str">
        <x:v>gsc-plamatea-36286</x:v>
      </x:c>
    </x:row>
    <x:row r="254" ht="72" customHeight="1">
      <x:c r="A254" s="11" t="str">
        <x:v>PLAMATEA Guts: Berserker Armor Ver.</x:v>
      </x:c>
      <x:c r="B254" s="11" t="str">
        <x:v>主来源</x:v>
      </x:c>
      <x:c r="C254" s="11" t="str">
        <x:v>官方产品页</x:v>
      </x:c>
      <x:c r="D254" s="11" t="str">
        <x:v>PLAMATEA Guts: Berserker Armor Ver.</x:v>
      </x:c>
      <x:c r="E254" s="11" t="str">
        <x:v>具体型号、制造主体、交付规格、材料与尺寸；未知字段保留。</x:v>
      </x:c>
      <x:c r="F254" s="11" t="str">
        <x:v>https://www.goodsmile.com/en/product/60249</x:v>
      </x:c>
      <x:c r="G254" s="11" t="str">
        <x:v>2026-10-05</x:v>
      </x:c>
      <x:c r="H254" s="11" t="str">
        <x:v>gsc-plamatea-60249</x:v>
      </x:c>
    </x:row>
    <x:row r="255" ht="72" customHeight="1">
      <x:c r="A255" s="11" t="str">
        <x:v>PLAMATEA Yuki Yuna</x:v>
      </x:c>
      <x:c r="B255" s="11" t="str">
        <x:v>主来源</x:v>
      </x:c>
      <x:c r="C255" s="11" t="str">
        <x:v>官方产品页</x:v>
      </x:c>
      <x:c r="D255" s="11" t="str">
        <x:v>PLAMATEA Yuki Yuna</x:v>
      </x:c>
      <x:c r="E255" s="11" t="str">
        <x:v>具体型号、制造主体、交付规格、材料与尺寸；未知字段保留。</x:v>
      </x:c>
      <x:c r="F255" s="11" t="str">
        <x:v>https://www.goodsmile.com/en/product/1137794</x:v>
      </x:c>
      <x:c r="G255" s="11" t="str">
        <x:v>2026-10-05</x:v>
      </x:c>
      <x:c r="H255" s="11" t="str">
        <x:v>gsc-plamatea-1137794</x:v>
      </x:c>
    </x:row>
    <x:row r="256" ht="72" customHeight="1">
      <x:c r="A256" s="11" t="str">
        <x:v>PLAMATEA Shigure Kai San</x:v>
      </x:c>
      <x:c r="B256" s="11" t="str">
        <x:v>主来源</x:v>
      </x:c>
      <x:c r="C256" s="11" t="str">
        <x:v>官方产品页</x:v>
      </x:c>
      <x:c r="D256" s="11" t="str">
        <x:v>PLAMATEA Shigure Kai San</x:v>
      </x:c>
      <x:c r="E256" s="11" t="str">
        <x:v>具体型号、制造主体、交付规格、材料与尺寸；未知字段保留。</x:v>
      </x:c>
      <x:c r="F256" s="11" t="str">
        <x:v>https://www.goodsmile.com/en/product/34684</x:v>
      </x:c>
      <x:c r="G256" s="11" t="str">
        <x:v>2026-10-05</x:v>
      </x:c>
      <x:c r="H256" s="11" t="str">
        <x:v>gsc-plamatea-34684</x:v>
      </x:c>
    </x:row>
    <x:row r="257" ht="72" customHeight="1">
      <x:c r="A257" s="11" t="str">
        <x:v>PLAMATEA 初音未来: Happy 16th Birthday Ver.</x:v>
      </x:c>
      <x:c r="B257" s="11" t="str">
        <x:v>主来源</x:v>
      </x:c>
      <x:c r="C257" s="11" t="str">
        <x:v>官方产品页</x:v>
      </x:c>
      <x:c r="D257" s="11" t="str">
        <x:v>PLAMATEA Hatsune Miku: Happy 16th Birthday Ver.</x:v>
      </x:c>
      <x:c r="E257" s="11" t="str">
        <x:v>具体型号、制造主体、交付规格、材料与尺寸；未知字段保留。</x:v>
      </x:c>
      <x:c r="F257" s="11" t="str">
        <x:v>https://www.goodsmile.com/en/product/57238</x:v>
      </x:c>
      <x:c r="G257" s="11" t="str">
        <x:v>2026-10-05</x:v>
      </x:c>
      <x:c r="H257" s="11" t="str">
        <x:v>gsc-plamatea-57238</x:v>
      </x:c>
    </x:row>
    <x:row r="258" ht="72" customHeight="1">
      <x:c r="A258" s="11" t="str">
        <x:v>Pure Neemo 2 Feel · S · 白肌</x:v>
      </x:c>
      <x:c r="B258" s="11" t="str">
        <x:v>主来源</x:v>
      </x:c>
      <x:c r="C258" s="11" t="str">
        <x:v>官方产品页</x:v>
      </x:c>
      <x:c r="D258" s="11" t="str">
        <x:v>ピュアニーモ2フィール S／女の子 PFL103-WHT</x:v>
      </x:c>
      <x:c r="E258" s="11" t="str">
        <x:v>本款独立素体、型号、尺寸口径、材料及配件范围；未披露项保留。</x:v>
      </x:c>
      <x:c r="F258" s="11" t="str">
        <x:v>https://www.azone-int.co.jp/azonet/item/4573199849805</x:v>
      </x:c>
      <x:c r="G258" s="11" t="str">
        <x:v>2026-10-06</x:v>
      </x:c>
      <x:c r="H258" s="11" t="str">
        <x:v>azone-body-pfl103-wht</x:v>
      </x:c>
    </x:row>
    <x:row r="259" ht="72" customHeight="1">
      <x:c r="A259" s="11" t="str">
        <x:v>Pure Neemo 2 Feel · S · 白肌</x:v>
      </x:c>
      <x:c r="B259" s="11" t="str">
        <x:v>补充来源</x:v>
      </x:c>
      <x:c r="C259" s="11" t="str">
        <x:v>官方系列说明</x:v>
      </x:c>
      <x:c r="D259" s="11" t="str">
        <x:v>1/6 AZONE 原创素体介绍</x:v>
      </x:c>
      <x:c r="E259" s="11" t="str">
        <x:v>对应系列的可动结构；不借用旧批次配件、其他型号高度或库存。</x:v>
      </x:c>
      <x:c r="F259" s="11" t="str">
        <x:v>https://news.azone-int.co.jp/archives/43318</x:v>
      </x:c>
      <x:c r="G259" s="11" t="str">
        <x:v>2026-10-06</x:v>
      </x:c>
      <x:c r="H259" s="11" t="str">
        <x:v>azone-body-pfl103-wht</x:v>
      </x:c>
    </x:row>
    <x:row r="260" ht="72" customHeight="1">
      <x:c r="A260" s="11" t="str">
        <x:v>Pure Neemo 2 Feel · M · 白肌</x:v>
      </x:c>
      <x:c r="B260" s="11" t="str">
        <x:v>主来源</x:v>
      </x:c>
      <x:c r="C260" s="11" t="str">
        <x:v>官方产品页</x:v>
      </x:c>
      <x:c r="D260" s="11" t="str">
        <x:v>ピュアニーモ2フィール M／女の子 PFL104-WHT</x:v>
      </x:c>
      <x:c r="E260" s="11" t="str">
        <x:v>本款独立素体、型号、尺寸口径、材料及配件范围；未披露项保留。</x:v>
      </x:c>
      <x:c r="F260" s="11" t="str">
        <x:v>https://www.azone-int.co.jp/azonet/item/4573199849812</x:v>
      </x:c>
      <x:c r="G260" s="11" t="str">
        <x:v>2026-10-06</x:v>
      </x:c>
      <x:c r="H260" s="11" t="str">
        <x:v>azone-body-pfl104-wht</x:v>
      </x:c>
    </x:row>
    <x:row r="261" ht="72" customHeight="1">
      <x:c r="A261" s="11" t="str">
        <x:v>Pure Neemo 2 Feel · M · 白肌</x:v>
      </x:c>
      <x:c r="B261" s="11" t="str">
        <x:v>补充来源</x:v>
      </x:c>
      <x:c r="C261" s="11" t="str">
        <x:v>官方系列说明</x:v>
      </x:c>
      <x:c r="D261" s="11" t="str">
        <x:v>1/6 AZONE 原创素体介绍</x:v>
      </x:c>
      <x:c r="E261" s="11" t="str">
        <x:v>对应系列的可动结构；不借用旧批次配件、其他型号高度或库存。</x:v>
      </x:c>
      <x:c r="F261" s="11" t="str">
        <x:v>https://news.azone-int.co.jp/archives/43318</x:v>
      </x:c>
      <x:c r="G261" s="11" t="str">
        <x:v>2026-10-06</x:v>
      </x:c>
      <x:c r="H261" s="11" t="str">
        <x:v>azone-body-pfl104-wht</x:v>
      </x:c>
    </x:row>
    <x:row r="262" ht="72" customHeight="1">
      <x:c r="A262" s="11" t="str">
        <x:v>Pure Neemo 2 Emotion · S · 白肌</x:v>
      </x:c>
      <x:c r="B262" s="11" t="str">
        <x:v>主来源</x:v>
      </x:c>
      <x:c r="C262" s="11" t="str">
        <x:v>官方产品页</x:v>
      </x:c>
      <x:c r="D262" s="11" t="str">
        <x:v>ピュアニーモ2エモーション S／女の子 PFL099-WHT</x:v>
      </x:c>
      <x:c r="E262" s="11" t="str">
        <x:v>本款独立素体、型号、尺寸口径、材料及配件范围；未披露项保留。</x:v>
      </x:c>
      <x:c r="F262" s="11" t="str">
        <x:v>https://www.azone-int.co.jp/azonet/item/4573199846163</x:v>
      </x:c>
      <x:c r="G262" s="11" t="str">
        <x:v>2026-10-06</x:v>
      </x:c>
      <x:c r="H262" s="11" t="str">
        <x:v>azone-body-pfl099-wht</x:v>
      </x:c>
    </x:row>
    <x:row r="263" ht="72" customHeight="1">
      <x:c r="A263" s="11" t="str">
        <x:v>Pure Neemo 2 Emotion · S · 白肌</x:v>
      </x:c>
      <x:c r="B263" s="11" t="str">
        <x:v>补充来源</x:v>
      </x:c>
      <x:c r="C263" s="11" t="str">
        <x:v>官方系列说明</x:v>
      </x:c>
      <x:c r="D263" s="11" t="str">
        <x:v>1/6 AZONE 原创素体介绍</x:v>
      </x:c>
      <x:c r="E263" s="11" t="str">
        <x:v>对应系列的可动结构；不借用旧批次配件、其他型号高度或库存。</x:v>
      </x:c>
      <x:c r="F263" s="11" t="str">
        <x:v>https://news.azone-int.co.jp/archives/43318</x:v>
      </x:c>
      <x:c r="G263" s="11" t="str">
        <x:v>2026-10-06</x:v>
      </x:c>
      <x:c r="H263" s="11" t="str">
        <x:v>azone-body-pfl099-wht</x:v>
      </x:c>
    </x:row>
    <x:row r="264" ht="72" customHeight="1">
      <x:c r="A264" s="11" t="str">
        <x:v>Pure Neemo 2 Emotion · M · 白肌</x:v>
      </x:c>
      <x:c r="B264" s="11" t="str">
        <x:v>主来源</x:v>
      </x:c>
      <x:c r="C264" s="11" t="str">
        <x:v>官方产品页</x:v>
      </x:c>
      <x:c r="D264" s="11" t="str">
        <x:v>ピュアニーモ2エモーション M／女の子 PFL100-WHT</x:v>
      </x:c>
      <x:c r="E264" s="11" t="str">
        <x:v>本款独立素体、型号、尺寸口径、材料及配件范围；未披露项保留。</x:v>
      </x:c>
      <x:c r="F264" s="11" t="str">
        <x:v>https://www.azone-int.co.jp/azonet/item/4573199846187</x:v>
      </x:c>
      <x:c r="G264" s="11" t="str">
        <x:v>2026-10-06</x:v>
      </x:c>
      <x:c r="H264" s="11" t="str">
        <x:v>azone-body-pfl100-wht</x:v>
      </x:c>
    </x:row>
    <x:row r="265" ht="72" customHeight="1">
      <x:c r="A265" s="11" t="str">
        <x:v>Pure Neemo 2 Emotion · M · 白肌</x:v>
      </x:c>
      <x:c r="B265" s="11" t="str">
        <x:v>补充来源</x:v>
      </x:c>
      <x:c r="C265" s="11" t="str">
        <x:v>官方系列说明</x:v>
      </x:c>
      <x:c r="D265" s="11" t="str">
        <x:v>1/6 AZONE 原创素体介绍</x:v>
      </x:c>
      <x:c r="E265" s="11" t="str">
        <x:v>对应系列的可动结构；不借用旧批次配件、其他型号高度或库存。</x:v>
      </x:c>
      <x:c r="F265" s="11" t="str">
        <x:v>https://news.azone-int.co.jp/archives/43318</x:v>
      </x:c>
      <x:c r="G265" s="11" t="str">
        <x:v>2026-10-06</x:v>
      </x:c>
      <x:c r="H265" s="11" t="str">
        <x:v>azone-body-pfl100-wht</x:v>
      </x:c>
    </x:row>
    <x:row r="266" ht="72" customHeight="1">
      <x:c r="A266" s="11" t="str">
        <x:v>Pure Neemo Flection · M · 白肌</x:v>
      </x:c>
      <x:c r="B266" s="11" t="str">
        <x:v>主来源</x:v>
      </x:c>
      <x:c r="C266" s="11" t="str">
        <x:v>官方产品页</x:v>
      </x:c>
      <x:c r="D266" s="11" t="str">
        <x:v>ピュアニーモフレクション M／女の子 PFL088-WHT</x:v>
      </x:c>
      <x:c r="E266" s="11" t="str">
        <x:v>本款独立素体、型号、尺寸口径、材料及配件范围；未披露项保留。</x:v>
      </x:c>
      <x:c r="F266" s="11" t="str">
        <x:v>https://www.azone-int.co.jp/azonet/item/4573199841397</x:v>
      </x:c>
      <x:c r="G266" s="11" t="str">
        <x:v>2026-10-06</x:v>
      </x:c>
      <x:c r="H266" s="11" t="str">
        <x:v>azone-body-pfl088-wht</x:v>
      </x:c>
    </x:row>
    <x:row r="267" ht="72" customHeight="1">
      <x:c r="A267" s="11" t="str">
        <x:v>Pure Neemo Flection · M · 白肌</x:v>
      </x:c>
      <x:c r="B267" s="11" t="str">
        <x:v>补充来源</x:v>
      </x:c>
      <x:c r="C267" s="11" t="str">
        <x:v>官方系列说明</x:v>
      </x:c>
      <x:c r="D267" s="11" t="str">
        <x:v>1/6 AZONE 原创素体介绍</x:v>
      </x:c>
      <x:c r="E267" s="11" t="str">
        <x:v>对应系列的可动结构；不借用旧批次配件、其他型号高度或库存。</x:v>
      </x:c>
      <x:c r="F267" s="11" t="str">
        <x:v>https://news.azone-int.co.jp/archives/43318</x:v>
      </x:c>
      <x:c r="G267" s="11" t="str">
        <x:v>2026-10-06</x:v>
      </x:c>
      <x:c r="H267" s="11" t="str">
        <x:v>azone-body-pfl088-wht</x:v>
      </x:c>
    </x:row>
    <x:row r="268" ht="72" customHeight="1">
      <x:c r="A268" s="11" t="str">
        <x:v>Picco Neemo · S 女孩 · 白肌</x:v>
      </x:c>
      <x:c r="B268" s="11" t="str">
        <x:v>主来源</x:v>
      </x:c>
      <x:c r="C268" s="11" t="str">
        <x:v>官方产品页</x:v>
      </x:c>
      <x:c r="D268" s="11" t="str">
        <x:v>1／12 ピコニーモS 女の子 PCN038-WHT</x:v>
      </x:c>
      <x:c r="E268" s="11" t="str">
        <x:v>本款独立素体、型号、尺寸口径、材料及配件范围；未披露项保留。</x:v>
      </x:c>
      <x:c r="F268" s="11" t="str">
        <x:v>https://www.azone-int.co.jp/azonet/item/4573199841533</x:v>
      </x:c>
      <x:c r="G268" s="11" t="str">
        <x:v>2026-10-06</x:v>
      </x:c>
      <x:c r="H268" s="11" t="str">
        <x:v>azone-body-pcn038-wht</x:v>
      </x:c>
    </x:row>
    <x:row r="269" ht="72" customHeight="1">
      <x:c r="A269" s="11" t="str">
        <x:v>Picco Neemo · S 女孩 · 白肌</x:v>
      </x:c>
      <x:c r="B269" s="11" t="str">
        <x:v>补充来源</x:v>
      </x:c>
      <x:c r="C269" s="11" t="str">
        <x:v>官方系列说明</x:v>
      </x:c>
      <x:c r="D269" s="11" t="str">
        <x:v>Picco Neemo / Flection 系列结构介绍</x:v>
      </x:c>
      <x:c r="E269" s="11" t="str">
        <x:v>对应系列的可动结构；不借用旧批次配件、其他型号高度或库存。</x:v>
      </x:c>
      <x:c r="F269" s="11" t="str">
        <x:v>https://www.azone-int.co.jp/?sid=pnm000</x:v>
      </x:c>
      <x:c r="G269" s="11" t="str">
        <x:v>2026-10-06</x:v>
      </x:c>
      <x:c r="H269" s="11" t="str">
        <x:v>azone-body-pcn038-wht</x:v>
      </x:c>
    </x:row>
    <x:row r="270" ht="72" customHeight="1">
      <x:c r="A270" s="11" t="str">
        <x:v>Picco Neemo · M 女孩 · 白肌</x:v>
      </x:c>
      <x:c r="B270" s="11" t="str">
        <x:v>主来源</x:v>
      </x:c>
      <x:c r="C270" s="11" t="str">
        <x:v>官方产品页</x:v>
      </x:c>
      <x:c r="D270" s="11" t="str">
        <x:v>1／12 ピコニーモM 女の子 PCN043-WHT</x:v>
      </x:c>
      <x:c r="E270" s="11" t="str">
        <x:v>本款独立素体、型号、尺寸口径、材料及配件范围；未披露项保留。</x:v>
      </x:c>
      <x:c r="F270" s="11" t="str">
        <x:v>https://www.azone-int.co.jp/azonet/item/4573199841564</x:v>
      </x:c>
      <x:c r="G270" s="11" t="str">
        <x:v>2026-10-06</x:v>
      </x:c>
      <x:c r="H270" s="11" t="str">
        <x:v>azone-body-pcn043-wht</x:v>
      </x:c>
    </x:row>
    <x:row r="271" ht="72" customHeight="1">
      <x:c r="A271" s="11" t="str">
        <x:v>Picco Neemo · M 女孩 · 白肌</x:v>
      </x:c>
      <x:c r="B271" s="11" t="str">
        <x:v>补充来源</x:v>
      </x:c>
      <x:c r="C271" s="11" t="str">
        <x:v>官方系列说明</x:v>
      </x:c>
      <x:c r="D271" s="11" t="str">
        <x:v>Picco Neemo / Flection 系列结构介绍</x:v>
      </x:c>
      <x:c r="E271" s="11" t="str">
        <x:v>对应系列的可动结构；不借用旧批次配件、其他型号高度或库存。</x:v>
      </x:c>
      <x:c r="F271" s="11" t="str">
        <x:v>https://www.azone-int.co.jp/?sid=pnm000</x:v>
      </x:c>
      <x:c r="G271" s="11" t="str">
        <x:v>2026-10-06</x:v>
      </x:c>
      <x:c r="H271" s="11" t="str">
        <x:v>azone-body-pcn043-wht</x:v>
      </x:c>
    </x:row>
    <x:row r="272" ht="72" customHeight="1">
      <x:c r="A272" s="11" t="str">
        <x:v>Picco Neemo · S 女孩 LL 胸 · 白肌</x:v>
      </x:c>
      <x:c r="B272" s="11" t="str">
        <x:v>主来源</x:v>
      </x:c>
      <x:c r="C272" s="11" t="str">
        <x:v>官方产品页</x:v>
      </x:c>
      <x:c r="D272" s="11" t="str">
        <x:v>1／12 ピコニーモS 女の子 LLバスト PCN041-WHT</x:v>
      </x:c>
      <x:c r="E272" s="11" t="str">
        <x:v>本款独立素体、型号、尺寸口径、材料及配件范围；未披露项保留。</x:v>
      </x:c>
      <x:c r="F272" s="11" t="str">
        <x:v>https://www.azone-int.co.jp/azonet/item/4573199841540</x:v>
      </x:c>
      <x:c r="G272" s="11" t="str">
        <x:v>2026-10-06</x:v>
      </x:c>
      <x:c r="H272" s="11" t="str">
        <x:v>azone-body-pcn041-wht</x:v>
      </x:c>
    </x:row>
    <x:row r="273" ht="72" customHeight="1">
      <x:c r="A273" s="11" t="str">
        <x:v>Picco Neemo · S 女孩 LL 胸 · 白肌</x:v>
      </x:c>
      <x:c r="B273" s="11" t="str">
        <x:v>补充来源</x:v>
      </x:c>
      <x:c r="C273" s="11" t="str">
        <x:v>官方系列说明</x:v>
      </x:c>
      <x:c r="D273" s="11" t="str">
        <x:v>Picco Neemo / Flection 系列结构介绍</x:v>
      </x:c>
      <x:c r="E273" s="11" t="str">
        <x:v>对应系列的可动结构；不借用旧批次配件、其他型号高度或库存。</x:v>
      </x:c>
      <x:c r="F273" s="11" t="str">
        <x:v>https://www.azone-int.co.jp/?sid=pnm000</x:v>
      </x:c>
      <x:c r="G273" s="11" t="str">
        <x:v>2026-10-06</x:v>
      </x:c>
      <x:c r="H273" s="11" t="str">
        <x:v>azone-body-pcn041-wht</x:v>
      </x:c>
    </x:row>
    <x:row r="274" ht="72" customHeight="1">
      <x:c r="A274" s="11" t="str">
        <x:v>Picco Neemo · S 女孩 3L 胸 · 白肌</x:v>
      </x:c>
      <x:c r="B274" s="11" t="str">
        <x:v>主来源</x:v>
      </x:c>
      <x:c r="C274" s="11" t="str">
        <x:v>官方产品页</x:v>
      </x:c>
      <x:c r="D274" s="11" t="str">
        <x:v>1／12 ピコニーモS 女の子 3Lバスト PCN042-WHT</x:v>
      </x:c>
      <x:c r="E274" s="11" t="str">
        <x:v>本款独立素体、型号、尺寸口径、材料及配件范围；未披露项保留。</x:v>
      </x:c>
      <x:c r="F274" s="11" t="str">
        <x:v>https://www.azone-int.co.jp/azonet/item/4573199841557</x:v>
      </x:c>
      <x:c r="G274" s="11" t="str">
        <x:v>2026-10-06</x:v>
      </x:c>
      <x:c r="H274" s="11" t="str">
        <x:v>azone-body-pcn042-wht</x:v>
      </x:c>
    </x:row>
    <x:row r="275" ht="72" customHeight="1">
      <x:c r="A275" s="11" t="str">
        <x:v>Picco Neemo · S 女孩 3L 胸 · 白肌</x:v>
      </x:c>
      <x:c r="B275" s="11" t="str">
        <x:v>补充来源</x:v>
      </x:c>
      <x:c r="C275" s="11" t="str">
        <x:v>官方系列说明</x:v>
      </x:c>
      <x:c r="D275" s="11" t="str">
        <x:v>Picco Neemo / Flection 系列结构介绍</x:v>
      </x:c>
      <x:c r="E275" s="11" t="str">
        <x:v>对应系列的可动结构；不借用旧批次配件、其他型号高度或库存。</x:v>
      </x:c>
      <x:c r="F275" s="11" t="str">
        <x:v>https://www.azone-int.co.jp/?sid=pnm000</x:v>
      </x:c>
      <x:c r="G275" s="11" t="str">
        <x:v>2026-10-06</x:v>
      </x:c>
      <x:c r="H275" s="11" t="str">
        <x:v>azone-body-pcn042-wht</x:v>
      </x:c>
    </x:row>
    <x:row r="276" ht="72" customHeight="1">
      <x:c r="A276" s="11" t="str">
        <x:v>Picco Neemo D · 弟弟 · 白肌</x:v>
      </x:c>
      <x:c r="B276" s="11" t="str">
        <x:v>主来源</x:v>
      </x:c>
      <x:c r="C276" s="11" t="str">
        <x:v>官方产品页</x:v>
      </x:c>
      <x:c r="D276" s="11" t="str">
        <x:v>1／12 ピコニーモD 弟 PCN048-WHT</x:v>
      </x:c>
      <x:c r="E276" s="11" t="str">
        <x:v>本款独立素体、型号、尺寸口径、材料及配件范围；未披露项保留。</x:v>
      </x:c>
      <x:c r="F276" s="11" t="str">
        <x:v>https://www.azone-int.co.jp/azonet/item/4573199848051</x:v>
      </x:c>
      <x:c r="G276" s="11" t="str">
        <x:v>2026-10-06</x:v>
      </x:c>
      <x:c r="H276" s="11" t="str">
        <x:v>azone-body-pcn048-wht</x:v>
      </x:c>
    </x:row>
    <x:row r="277" ht="72" customHeight="1">
      <x:c r="A277" s="11" t="str">
        <x:v>Picco Neemo D · 弟弟 · 白肌</x:v>
      </x:c>
      <x:c r="B277" s="11" t="str">
        <x:v>补充来源</x:v>
      </x:c>
      <x:c r="C277" s="11" t="str">
        <x:v>官方系列说明</x:v>
      </x:c>
      <x:c r="D277" s="11" t="str">
        <x:v>Picco Neemo / Flection 系列结构介绍</x:v>
      </x:c>
      <x:c r="E277" s="11" t="str">
        <x:v>对应系列的可动结构；不借用旧批次配件、其他型号高度或库存。</x:v>
      </x:c>
      <x:c r="F277" s="11" t="str">
        <x:v>https://www.azone-int.co.jp/?sid=pnm000</x:v>
      </x:c>
      <x:c r="G277" s="11" t="str">
        <x:v>2026-10-06</x:v>
      </x:c>
      <x:c r="H277" s="11" t="str">
        <x:v>azone-body-pcn048-wht</x:v>
      </x:c>
    </x:row>
    <x:row r="278" ht="72" customHeight="1">
      <x:c r="A278" s="11" t="str">
        <x:v>OBITSU 26 cm · S 胸</x:v>
      </x:c>
      <x:c r="B278" s="11" t="str">
        <x:v>主来源</x:v>
      </x:c>
      <x:c r="C278" s="11" t="str">
        <x:v>官方产品页</x:v>
      </x:c>
      <x:c r="D278" s="11" t="str">
        <x:v>26BD-F01N-S / OBITSU BODY 26</x:v>
      </x:c>
      <x:c r="E278" s="11" t="str">
        <x:v>本款独立素体、型号、尺寸口径、材料及配件范围；未披露项保留。</x:v>
      </x:c>
      <x:c r="F278" s="11" t="str">
        <x:v>https://obitsu.co.jp/doll-division/obitsu-body-and-parts/obitsu-body/obitsu-body-26/</x:v>
      </x:c>
      <x:c r="G278" s="11" t="str">
        <x:v>2026-10-06</x:v>
      </x:c>
      <x:c r="H278" s="11" t="str">
        <x:v>bare-26bd-f01n-s</x:v>
      </x:c>
    </x:row>
    <x:row r="279" ht="72" customHeight="1">
      <x:c r="A279" s="11" t="str">
        <x:v>OBITSU 26 cm · S 胸</x:v>
      </x:c>
      <x:c r="B279" s="11" t="str">
        <x:v>补充来源</x:v>
      </x:c>
      <x:c r="C279" s="11" t="str">
        <x:v>官方商店型号链接</x:v>
      </x:c>
      <x:c r="D279" s="11" t="str">
        <x:v>【26BD-F01N-S】26cmオビツボディ バストサイズS ナチュラル</x:v>
      </x:c>
      <x:c r="E279" s="11" t="str">
        <x:v>厂家型号说明页直接列出的对应 SKU；库存未单独核对。</x:v>
      </x:c>
      <x:c r="F279" s="11" t="str">
        <x:v>https://www.obitsushop.com/SHOP/26BD-F01N-S.html</x:v>
      </x:c>
      <x:c r="G279" s="11" t="str">
        <x:v>2026-10-06</x:v>
      </x:c>
      <x:c r="H279" s="11" t="str">
        <x:v>bare-26bd-f01n-s</x:v>
      </x:c>
    </x:row>
    <x:row r="280" ht="72" customHeight="1">
      <x:c r="A280" s="11" t="str">
        <x:v>OBITSU 27 cm · 男性 Slim</x:v>
      </x:c>
      <x:c r="B280" s="11" t="str">
        <x:v>主来源</x:v>
      </x:c>
      <x:c r="C280" s="11" t="str">
        <x:v>官方产品页</x:v>
      </x:c>
      <x:c r="D280" s="11" t="str">
        <x:v>27BD-M03N / OBITSU BODY 27 MEN Slim</x:v>
      </x:c>
      <x:c r="E280" s="11" t="str">
        <x:v>本款独立素体、型号、尺寸口径、材料及配件范围；未披露项保留。</x:v>
      </x:c>
      <x:c r="F280" s="11" t="str">
        <x:v>https://obitsu.co.jp/doll-division/obitsu-body-and-parts/obitsu-body/obitsu-body-27-m/</x:v>
      </x:c>
      <x:c r="G280" s="11" t="str">
        <x:v>2026-10-06</x:v>
      </x:c>
      <x:c r="H280" s="11" t="str">
        <x:v>bare-27bd-m03n</x:v>
      </x:c>
    </x:row>
    <x:row r="281" ht="72" customHeight="1">
      <x:c r="A281" s="11" t="str">
        <x:v>OBITSU 27 cm · 男性 Slim</x:v>
      </x:c>
      <x:c r="B281" s="11" t="str">
        <x:v>补充来源</x:v>
      </x:c>
      <x:c r="C281" s="11" t="str">
        <x:v>官方商店型号链接</x:v>
      </x:c>
      <x:c r="D281" s="11" t="str">
        <x:v>【27BD-M03N】男性ボディ　スリム(新型)　ナチュラル</x:v>
      </x:c>
      <x:c r="E281" s="11" t="str">
        <x:v>厂家型号说明页直接列出的对应 SKU；库存未单独核对。</x:v>
      </x:c>
      <x:c r="F281" s="11" t="str">
        <x:v>https://www.obitsushop.com/SHOP/27BD-M03N.html</x:v>
      </x:c>
      <x:c r="G281" s="11" t="str">
        <x:v>2026-10-06</x:v>
      </x:c>
      <x:c r="H281" s="11" t="str">
        <x:v>bare-27bd-m03n</x:v>
      </x:c>
    </x:row>
    <x:row r="282" ht="72" customHeight="1">
      <x:c r="A282" s="11" t="str">
        <x:v>OBITSU 27 cm · 女性 SBH M 胸</x:v>
      </x:c>
      <x:c r="B282" s="11" t="str">
        <x:v>主来源</x:v>
      </x:c>
      <x:c r="C282" s="11" t="str">
        <x:v>官方产品页</x:v>
      </x:c>
      <x:c r="D282" s="11" t="str">
        <x:v>27BD-F06N / OBITSU BODY 27 WOMAN – SBH</x:v>
      </x:c>
      <x:c r="E282" s="11" t="str">
        <x:v>本款独立素体、型号、尺寸口径、材料及配件范围；未披露项保留。</x:v>
      </x:c>
      <x:c r="F282" s="11" t="str">
        <x:v>https://obitsu.co.jp/doll-division/obitsu-body-and-parts/obitsu-body/obitsu-body-27woman-sbh/</x:v>
      </x:c>
      <x:c r="G282" s="11" t="str">
        <x:v>2026-10-06</x:v>
      </x:c>
      <x:c r="H282" s="11" t="str">
        <x:v>bare-27bd-f06n</x:v>
      </x:c>
    </x:row>
    <x:row r="283" ht="72" customHeight="1">
      <x:c r="A283" s="11" t="str">
        <x:v>OBITSU 27 cm · 女性 SBH M 胸</x:v>
      </x:c>
      <x:c r="B283" s="11" t="str">
        <x:v>补充来源</x:v>
      </x:c>
      <x:c r="C283" s="11" t="str">
        <x:v>官方商店型号链接</x:v>
      </x:c>
      <x:c r="D283" s="11" t="str">
        <x:v>【27BD-F06N】女性バージョン　SBH-M胸　ナチュラル</x:v>
      </x:c>
      <x:c r="E283" s="11" t="str">
        <x:v>厂家型号说明页直接列出的对应 SKU；库存未单独核对。</x:v>
      </x:c>
      <x:c r="F283" s="11" t="str">
        <x:v>https://www.obitsushop.com/SHOP/27BD-F06N.html</x:v>
      </x:c>
      <x:c r="G283" s="11" t="str">
        <x:v>2026-10-06</x:v>
      </x:c>
      <x:c r="H283" s="11" t="str">
        <x:v>bare-27bd-f06n</x:v>
      </x:c>
    </x:row>
    <x:row r="284" ht="72" customHeight="1">
      <x:c r="A284" s="11" t="str">
        <x:v>OBITSU 30 cm · 男性素体</x:v>
      </x:c>
      <x:c r="B284" s="11" t="str">
        <x:v>主来源</x:v>
      </x:c>
      <x:c r="C284" s="11" t="str">
        <x:v>官方产品页</x:v>
      </x:c>
      <x:c r="D284" s="11" t="str">
        <x:v>30BD-M01N / OBITSU BODY30</x:v>
      </x:c>
      <x:c r="E284" s="11" t="str">
        <x:v>本款独立素体、型号、尺寸口径、材料及配件范围；未披露项保留。</x:v>
      </x:c>
      <x:c r="F284" s="11" t="str">
        <x:v>https://obitsu.co.jp/doll-division/obitsu-body-and-parts/obitsu-body/obitsu-body30/</x:v>
      </x:c>
      <x:c r="G284" s="11" t="str">
        <x:v>2026-10-06</x:v>
      </x:c>
      <x:c r="H284" s="11" t="str">
        <x:v>bare-30bd-m01n</x:v>
      </x:c>
    </x:row>
    <x:row r="285" ht="72" customHeight="1">
      <x:c r="A285" s="11" t="str">
        <x:v>OBITSU 30 cm · 男性素体</x:v>
      </x:c>
      <x:c r="B285" s="11" t="str">
        <x:v>补充来源</x:v>
      </x:c>
      <x:c r="C285" s="11" t="str">
        <x:v>官方商店型号链接</x:v>
      </x:c>
      <x:c r="D285" s="11" t="str">
        <x:v>【30BD-M01N】30cmオビツボディ ナチュラル</x:v>
      </x:c>
      <x:c r="E285" s="11" t="str">
        <x:v>厂家型号说明页直接列出的对应 SKU；库存未单独核对。</x:v>
      </x:c>
      <x:c r="F285" s="11" t="str">
        <x:v>https://www.obitsushop.com/SHOP/30BD-M01N.html</x:v>
      </x:c>
      <x:c r="G285" s="11" t="str">
        <x:v>2026-10-06</x:v>
      </x:c>
      <x:c r="H285" s="11" t="str">
        <x:v>bare-30bd-m01n</x:v>
      </x:c>
    </x:row>
    <x:row r="286" ht="72" customHeight="1">
      <x:c r="A286" s="11" t="str">
        <x:v>OBITSU Ver.1.5 · GGR50 M 胸</x:v>
      </x:c>
      <x:c r="B286" s="11" t="str">
        <x:v>主来源</x:v>
      </x:c>
      <x:c r="C286" s="11" t="str">
        <x:v>官方产品页</x:v>
      </x:c>
      <x:c r="D286" s="11" t="str">
        <x:v>50BD-GGRW-G / OBITSU BODY Ver1.5 GGR50</x:v>
      </x:c>
      <x:c r="E286" s="11" t="str">
        <x:v>本款独立素体、型号、尺寸口径、材料及配件范围；未披露项保留。</x:v>
      </x:c>
      <x:c r="F286" s="11" t="str">
        <x:v>https://obitsu.co.jp/doll-division/obitsu-body-and-parts/obitsu-body/obitsu-body-ver1-5-ggr50/</x:v>
      </x:c>
      <x:c r="G286" s="11" t="str">
        <x:v>2026-10-06</x:v>
      </x:c>
      <x:c r="H286" s="11" t="str">
        <x:v>bare-50bd-ggrw-g</x:v>
      </x:c>
    </x:row>
    <x:row r="287" ht="72" customHeight="1">
      <x:c r="A287" s="11" t="str">
        <x:v>OBITSU Ver.1.5 · GGR50 M 胸</x:v>
      </x:c>
      <x:c r="B287" s="11" t="str">
        <x:v>补充来源</x:v>
      </x:c>
      <x:c r="C287" s="11" t="str">
        <x:v>官方商店型号链接</x:v>
      </x:c>
      <x:c r="D287" s="11" t="str">
        <x:v>【50BD-GGRW-G】50cmオビツボディ Ver1.5 GGR50　ホワイティ</x:v>
      </x:c>
      <x:c r="E287" s="11" t="str">
        <x:v>厂家型号说明页直接列出的对应 SKU；库存未单独核对。</x:v>
      </x:c>
      <x:c r="F287" s="11" t="str">
        <x:v>https://www.obitsushop.com/SHOP/50BD-GGRW-G.html</x:v>
      </x:c>
      <x:c r="G287" s="11" t="str">
        <x:v>2026-10-06</x:v>
      </x:c>
      <x:c r="H287" s="11" t="str">
        <x:v>bare-50bd-ggrw-g</x:v>
      </x:c>
    </x:row>
    <x:row r="288" ht="72" customHeight="1">
      <x:c r="A288" s="11" t="str">
        <x:v>PICCODO · CHUBBY BODY</x:v>
      </x:c>
      <x:c r="B288" s="11" t="str">
        <x:v>主来源</x:v>
      </x:c>
      <x:c r="C288" s="11" t="str">
        <x:v>官方产品页</x:v>
      </x:c>
      <x:c r="D288" s="11" t="str">
        <x:v>PICCODO CHUBBY BODY</x:v>
      </x:c>
      <x:c r="E288" s="11" t="str">
        <x:v>本款独立素体、型号、尺寸口径、材料及配件范围；未披露项保留。</x:v>
      </x:c>
      <x:c r="F288" s="11" t="str">
        <x:v>https://piccodo.official.ec/items/118319611</x:v>
      </x:c>
      <x:c r="G288" s="11" t="str">
        <x:v>2026-10-06</x:v>
      </x:c>
      <x:c r="H288" s="11" t="str">
        <x:v>piccodo-118319611</x:v>
      </x:c>
    </x:row>
    <x:row r="289" ht="72" customHeight="1">
      <x:c r="A289" s="11" t="str">
        <x:v>PICCODO · BODY11</x:v>
      </x:c>
      <x:c r="B289" s="11" t="str">
        <x:v>主来源</x:v>
      </x:c>
      <x:c r="C289" s="11" t="str">
        <x:v>官方产品页</x:v>
      </x:c>
      <x:c r="D289" s="11" t="str">
        <x:v>PICCODO BODY11</x:v>
      </x:c>
      <x:c r="E289" s="11" t="str">
        <x:v>本款独立素体、型号、尺寸口径、材料及配件范围；未披露项保留。</x:v>
      </x:c>
      <x:c r="F289" s="11" t="str">
        <x:v>https://piccodo.official.ec/items/115850461</x:v>
      </x:c>
      <x:c r="G289" s="11" t="str">
        <x:v>2026-10-06</x:v>
      </x:c>
      <x:c r="H289" s="11" t="str">
        <x:v>piccodo-115850461</x:v>
      </x:c>
    </x:row>
    <x:row r="290" ht="72" customHeight="1">
      <x:c r="A290" s="11" t="str">
        <x:v>PICCODO · BODY10 Ver.2.0</x:v>
      </x:c>
      <x:c r="B290" s="11" t="str">
        <x:v>主来源</x:v>
      </x:c>
      <x:c r="C290" s="11" t="str">
        <x:v>官方产品页</x:v>
      </x:c>
      <x:c r="D290" s="11" t="str">
        <x:v>PICCODO BODY10 Ver.2.0</x:v>
      </x:c>
      <x:c r="E290" s="11" t="str">
        <x:v>本款独立素体、型号、尺寸口径、材料及配件范围；未披露项保留。</x:v>
      </x:c>
      <x:c r="F290" s="11" t="str">
        <x:v>https://piccodo.official.ec/items/76733551</x:v>
      </x:c>
      <x:c r="G290" s="11" t="str">
        <x:v>2026-10-06</x:v>
      </x:c>
      <x:c r="H290" s="11" t="str">
        <x:v>piccodo-76733551</x:v>
      </x:c>
    </x:row>
    <x:row r="291" ht="72" customHeight="1">
      <x:c r="A291" s="11" t="str">
        <x:v>PICCODO · BODY9 Ver.2.0</x:v>
      </x:c>
      <x:c r="B291" s="11" t="str">
        <x:v>主来源</x:v>
      </x:c>
      <x:c r="C291" s="11" t="str">
        <x:v>官方产品页</x:v>
      </x:c>
      <x:c r="D291" s="11" t="str">
        <x:v>PICCODO BODY9 Ver.2.0</x:v>
      </x:c>
      <x:c r="E291" s="11" t="str">
        <x:v>本款独立素体、型号、尺寸口径、材料及配件范围；未披露项保留。</x:v>
      </x:c>
      <x:c r="F291" s="11" t="str">
        <x:v>https://piccodo.official.ec/items/76732953</x:v>
      </x:c>
      <x:c r="G291" s="11" t="str">
        <x:v>2026-10-06</x:v>
      </x:c>
      <x:c r="H291" s="11" t="str">
        <x:v>piccodo-76732953</x:v>
      </x:c>
    </x:row>
    <x:row r="292" ht="72" customHeight="1">
      <x:c r="A292" s="11" t="str">
        <x:v>PICCODO · CUTE BODY10</x:v>
      </x:c>
      <x:c r="B292" s="11" t="str">
        <x:v>主来源</x:v>
      </x:c>
      <x:c r="C292" s="11" t="str">
        <x:v>官方产品页</x:v>
      </x:c>
      <x:c r="D292" s="11" t="str">
        <x:v>PICCODO CUTE BODY10</x:v>
      </x:c>
      <x:c r="E292" s="11" t="str">
        <x:v>本款独立素体、型号、尺寸口径、材料及配件范围；未披露项保留。</x:v>
      </x:c>
      <x:c r="F292" s="11" t="str">
        <x:v>https://piccodo.official.ec/items/72696060</x:v>
      </x:c>
      <x:c r="G292" s="11" t="str">
        <x:v>2026-10-06</x:v>
      </x:c>
      <x:c r="H292" s="11" t="str">
        <x:v>piccodo-72696060</x:v>
      </x:c>
    </x:row>
    <x:row r="293" ht="72" customHeight="1">
      <x:c r="A293" s="11" t="str">
        <x:v>PICCODO · BODY20</x:v>
      </x:c>
      <x:c r="B293" s="11" t="str">
        <x:v>主来源</x:v>
      </x:c>
      <x:c r="C293" s="11" t="str">
        <x:v>官方产品页</x:v>
      </x:c>
      <x:c r="D293" s="11" t="str">
        <x:v>PICCODO BODY20</x:v>
      </x:c>
      <x:c r="E293" s="11" t="str">
        <x:v>本款独立素体、型号、尺寸口径、材料及配件范围；未披露项保留。</x:v>
      </x:c>
      <x:c r="F293" s="11" t="str">
        <x:v>https://piccodo.official.ec/items/72695579</x:v>
      </x:c>
      <x:c r="G293" s="11" t="str">
        <x:v>2026-10-06</x:v>
      </x:c>
      <x:c r="H293" s="11" t="str">
        <x:v>piccodo-72695579</x:v>
      </x:c>
    </x:row>
    <x:row r="294" ht="72" customHeight="1">
      <x:c r="A294" s="11" t="str">
        <x:v>PICCODO · BODY8 PLUS</x:v>
      </x:c>
      <x:c r="B294" s="11" t="str">
        <x:v>主来源</x:v>
      </x:c>
      <x:c r="C294" s="11" t="str">
        <x:v>官方产品页</x:v>
      </x:c>
      <x:c r="D294" s="11" t="str">
        <x:v>PICCODO BODY8 PLUS</x:v>
      </x:c>
      <x:c r="E294" s="11" t="str">
        <x:v>本款独立素体、型号、尺寸口径、材料及配件范围；未披露项保留。</x:v>
      </x:c>
      <x:c r="F294" s="11" t="str">
        <x:v>https://piccodo.official.ec/items/72138227</x:v>
      </x:c>
      <x:c r="G294" s="11" t="str">
        <x:v>2026-10-06</x:v>
      </x:c>
      <x:c r="H294" s="11" t="str">
        <x:v>piccodo-72138227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ed4caca90184e1f"/>
  </x:tableParts>
</x:worksheet>
</file>

<file path=xl/worksheets/sheet3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90" hidden="0" customWidth="1"/>
    <x:col min="4" max="4" width="90" hidden="0" customWidth="1"/>
  </x:cols>
  <x:sheetData>
    <x:row r="1" ht="38" customHeight="1">
      <x:c r="A1" s="3" t="str">
        <x:v>人形玩具比照 · 六类标签</x:v>
      </x:c>
      <x:c r="B1" s="3"/>
      <x:c r="C1" s="3"/>
      <x:c r="D1" s="3"/>
    </x:row>
    <x:row r="2" ht="34" customHeight="1">
      <x:c r="A2" s="6" t="str">
        <x:v>中文关键词承担含义，颜色帮助识别类别；细分变体与适配范围保留在产品说明，不凭标签作购买或通用兼容判断。</x:v>
      </x:c>
      <x:c r="B2" s="6"/>
      <x:c r="C2" s="6"/>
      <x:c r="D2" s="6"/>
    </x:row>
    <x:row r="3">
      <x:c r="A3" s="1"/>
      <x:c r="B3" s="1"/>
      <x:c r="C3" s="1"/>
      <x:c r="D3" s="1"/>
    </x:row>
    <x:row r="4" ht="30" customHeight="1">
      <x:c r="A4" s="9" t="str">
        <x:v>标签类别</x:v>
      </x:c>
      <x:c r="B4" s="9" t="str">
        <x:v>固定色系</x:v>
      </x:c>
      <x:c r="C4" s="9" t="str">
        <x:v>记录口径</x:v>
      </x:c>
      <x:c r="D4" s="9" t="str">
        <x:v>当前关键词</x:v>
      </x:c>
    </x:row>
    <x:row r="5" ht="160" customHeight="1">
      <x:c r="A5" s="12" t="str">
        <x:v>连接／可动</x:v>
      </x:c>
      <x:c r="B5" s="12" t="str">
        <x:v>蓝色</x:v>
      </x:c>
      <x:c r="C5" s="11" t="str">
        <x:v>拉筋连接、内部骨架、可动关节和固定姿势各自记录。球体关节描述关节形状，不能单凭 BJD 名称判断是否拉筋；未查明时保留连接待核实。</x:v>
      </x:c>
      <x:c r="D5" s="11" t="str">
        <x:v>拉筋连接、球体关节、双重肘关节、内部骨架、关节可动、连接待核实、22 处可动、30+ 处可动、固定姿势、不适用、球窝关节、双重关节、展示型结构</x:v>
      </x:c>
    </x:row>
    <x:row r="6" ht="160" customHeight="1">
      <x:c r="A6" s="15" t="str">
        <x:v>比例／高度</x:v>
      </x:c>
      <x:c r="B6" s="15" t="str">
        <x:v>红色</x:v>
      </x:c>
      <x:c r="C6" s="11" t="str">
        <x:v>深红表示厂商标称比例，浅红表示厂商公布的高度等实际尺寸规格，并非自行实测。1:1、2:1 也可能以作品设定中的小型人偶为基准，不能直接换算成人体身高。含头、含底座等测量口径单独保留。</x:v>
      </x:c>
      <x:c r="D6" s="11" t="str">
        <x:v>比例未披露、高度 54 cm、比例 1:6、高度 27.5 cm、素体 22.5 cm、高度 11 cm、无固定比例、高度 13 cm、比例 1:10、素体 14.2 cm、含头约 16 cm、高度 22 cm、约 1:6、高度 24 cm、约 1:3、高度 50 cm、高度 14 cm、高度 10 cm、高度 23 cm、比例 1:12、高度 17 cm、素体 12.1 cm、含头约 14 cm、比例 1:1、比例 2:1、高度 28 cm、高度 15 cm、比例 1:3、标称 75 cm、标称 73 cm、标称 70 cm、比例 1:4、标称 45 cm、标称 77 cm、标称 71 cm、标称 24 cm、标称 43 cm、高度 16 cm、高度 15.5 cm、高度 13.5 cm、高度 12 cm、高度 14.5 cm、高度 18 cm、高度 15.6 cm、头顶高度 14.8 cm、高度 16.5 cm、高度 15.4 cm、高度 20 cm、高度 8 cm、高度 25 cm、高度 22.5 cm、高度 27 cm、高度 33 cm、高度 21 cm、Polyester · 高度 14 cm、Polyurethane · 高度 14 cm、头顶高度 17 cm、人形高度 17 cm、人形高度 15.5 cm、人形高度 12 cm、含笼架高度 22.5 cm、高度 17.5 cm、Hurricane Honey · 高度 17 cm、Mash · 高度 16.5 cm、高度 18.5 cm、素体 26 cm、素体 27 cm、素体 30 cm、50 cm 级别、素体 9.1 cm、素体 11.3 cm、素体 10.5 cm、素体 9.5 cm、素体 10.9 cm、素体 21.2 cm</x:v>
      </x:c>
    </x:row>
    <x:row r="7" ht="160" customHeight="1">
      <x:c r="A7" s="13" t="str">
        <x:v>交付形态</x:v>
      </x:c>
      <x:c r="B7" s="13" t="str">
        <x:v>黄色</x:v>
      </x:c>
      <x:c r="C7" s="11" t="str">
        <x:v>区别成品含服、素体成品、待拼装与服装成品。成品含服仍可能需要自己穿衣；展示照片中的道具不一定属于交付内容。</x:v>
      </x:c>
      <x:c r="D7" s="11" t="str">
        <x:v>成品含服、素体成品、待拼装、涂装成品、计划商品、服装成品、裸娃成品、头部另配</x:v>
      </x:c>
    </x:row>
    <x:row r="8" ht="160" customHeight="1">
      <x:c r="A8" s="17" t="str">
        <x:v>换装／定制</x:v>
      </x:c>
      <x:c r="B8" s="17" t="str">
        <x:v>紫色</x:v>
      </x:c>
      <x:c r="C8" s="11" t="str">
        <x:v>布衣穿脱、换假发、换眼、换脸和硬质换件是不同操作。商品附带替换件不代表可以与所有品牌互换，具体适配放在展开说明。</x:v>
      </x:c>
      <x:c r="D8" s="11" t="str">
        <x:v>布衣穿脱、换假发、换眼、换手、头部适配器、换脸、头部互换（有限制）、硬质换件、换脚、植发、可拆翼装、换头、换发型、换装未说明、服装另配、水贴定制</x:v>
      </x:c>
    </x:row>
    <x:row r="9" ht="160" customHeight="1">
      <x:c r="A9" s="18" t="str">
        <x:v>材料</x:v>
      </x:c>
      <x:c r="B9" s="18" t="str">
        <x:v>绿色</x:v>
      </x:c>
      <x:c r="C9" s="11" t="str">
        <x:v>仅记录来源明确的材料；塑料未细分时不推定为 PVC 或 ABS。材料标签描述组成，不代表耐热、耐染或安全评级。布料与人形主体分开解释。</x:v>
      </x:c>
      <x:c r="D9" s="11" t="str">
        <x:v>聚氨酯树脂、玻璃眼、材料未披露、PVC、ABS、尼龙布、TPE、POM、软质 PVC、布料、软质外皮、塑料（未细分）、磁铁、PS、棉布、聚酯纤维、塑料、棉、软质乙烯树脂外皮、内部材料未披露</x:v>
      </x:c>
    </x:row>
    <x:row r="10" ht="160" customHeight="1">
      <x:c r="A10" s="19" t="str">
        <x:v>对象类型</x:v>
      </x:c>
      <x:c r="B10" s="19" t="str">
        <x:v>灰米色</x:v>
      </x:c>
      <x:c r="C10" s="11" t="str">
        <x:v>区分原创人偶、角色人形、素体、静态手办和服装配套。服装配套作为关联商品保留，可以在比较时看到“不适用”的结构与尺寸。</x:v>
      </x:c>
      <x:c r="D10" s="11" t="str">
        <x:v>原创人偶、素体、角色人形、静态手办、服装配套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54b3ad234144e91"/>
  </x:tableParts>
</x:worksheet>
</file>

<file path=xl/worksheets/sheet4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38" hidden="0" customWidth="1"/>
    <x:col min="3" max="3" width="95" hidden="0" customWidth="1"/>
    <x:col min="4" max="4" width="80" hidden="0" customWidth="1"/>
    <x:col min="5" max="5" width="16" hidden="0" customWidth="1"/>
  </x:cols>
  <x:sheetData>
    <x:row r="1" ht="38" customHeight="1">
      <x:c r="A1" s="3" t="str">
        <x:v>人形玩具比照 · 综合资源</x:v>
      </x:c>
      <x:c r="B1" s="3"/>
      <x:c r="C1" s="3"/>
      <x:c r="D1" s="3"/>
      <x:c r="E1" s="3"/>
    </x:row>
    <x:row r="2" ht="34" customHeight="1">
      <x:c r="A2" s="6" t="str">
        <x:v>综合目录、社区主页与多型号参考单独归集；不作为每件商品的主证据。网页把此区域折叠在页尾。</x:v>
      </x:c>
      <x:c r="B2" s="6"/>
      <x:c r="C2" s="6"/>
      <x:c r="D2" s="6"/>
      <x:c r="E2" s="6"/>
    </x:row>
    <x:row r="3">
      <x:c r="A3" s="1"/>
      <x:c r="B3" s="1"/>
      <x:c r="C3" s="1"/>
      <x:c r="D3" s="1"/>
      <x:c r="E3" s="1"/>
    </x:row>
    <x:row r="4" ht="30" customHeight="1">
      <x:c r="A4" s="9" t="str">
        <x:v>资源类别</x:v>
      </x:c>
      <x:c r="B4" s="9" t="str">
        <x:v>资源</x:v>
      </x:c>
      <x:c r="C4" s="9" t="str">
        <x:v>用途与范围</x:v>
      </x:c>
      <x:c r="D4" s="9" t="str">
        <x:v>URL</x:v>
      </x:c>
      <x:c r="E4" s="9" t="str">
        <x:v>核对日期</x:v>
      </x:c>
    </x:row>
    <x:row r="5" ht="72" customHeight="1">
      <x:c r="A5" s="11" t="str">
        <x:v>综合资料库</x:v>
      </x:c>
      <x:c r="B5" s="11" t="str">
        <x:v>Hobby Search · 日本人偶与素体目录</x:v>
      </x:c>
      <x:c r="C5" s="11" t="str">
        <x:v>按品牌、素体尺寸、替换部件和衣装分类查商品；含 AZONE、OBITSU、PICCODO 等。商品页规格与库存分开看。</x:v>
      </x:c>
      <x:c r="D5" s="11" t="str">
        <x:v>https://www.1999.co.jp/doll/</x:v>
      </x:c>
      <x:c r="E5" s="11" t="str">
        <x:v>2026-10-06</x:v>
      </x:c>
    </x:row>
    <x:row r="6" ht="72" customHeight="1">
      <x:c r="A6" s="11" t="str">
        <x:v>综合资料库</x:v>
      </x:c>
      <x:c r="B6" s="11" t="str">
        <x:v>Dollect · 人偶资料库</x:v>
      </x:c>
      <x:c r="C6" s="11" t="str">
        <x:v>时装人偶、收藏人偶和配套系列的社区资料入口，补充 Barbie、Monster High 等范围。</x:v>
      </x:c>
      <x:c r="D6" s="11" t="str">
        <x:v>https://dollect.net/database-landing/</x:v>
      </x:c>
      <x:c r="E6" s="11" t="str">
        <x:v>2026-10-06</x:v>
      </x:c>
    </x:row>
    <x:row r="7" ht="72" customHeight="1">
      <x:c r="A7" s="11" t="str">
        <x:v>评测与资讯</x:v>
      </x:c>
      <x:c r="B7" s="11" t="str">
        <x:v>HOBBY Watch · 日本模玩资讯</x:v>
      </x:c>
      <x:c r="C7" s="11" t="str">
        <x:v>手办、模型和玩具的综合资讯与现场报道；可继续查展会、原作者评测和具体新品。</x:v>
      </x:c>
      <x:c r="D7" s="11" t="str">
        <x:v>https://hobby.watch.impress.co.jp/</x:v>
      </x:c>
      <x:c r="E7" s="11" t="str">
        <x:v>2026-10-06</x:v>
      </x:c>
    </x:row>
    <x:row r="8" ht="72" customHeight="1">
      <x:c r="A8" s="11" t="str">
        <x:v>评测与资讯</x:v>
      </x:c>
      <x:c r="B8" s="11" t="str">
        <x:v>电击 Hobby · 模玩资讯与展会报道</x:v>
      </x:c>
      <x:c r="C8" s="11" t="str">
        <x:v>综合新品、现场报道和原作者图文评测；活动报道需继续定位具体产品。</x:v>
      </x:c>
      <x:c r="D8" s="11" t="str">
        <x:v>https://hobby.dengeki.com/</x:v>
      </x:c>
      <x:c r="E8" s="11" t="str">
        <x:v>2026-10-06</x:v>
      </x:c>
    </x:row>
    <x:row r="9" ht="72" customHeight="1">
      <x:c r="A9" s="11" t="str">
        <x:v>评测与资讯</x:v>
      </x:c>
      <x:c r="B9" s="11" t="str">
        <x:v>Toy Box Philosopher · 人偶评测索引</x:v>
      </x:c>
      <x:c r="C9" s="11" t="str">
        <x:v>原作者的跨品牌人偶评测索引；寻找本款评测与对照文章时使用。索引正在重建，也可使用站内搜索与归档。</x:v>
      </x:c>
      <x:c r="D9" s="11" t="str">
        <x:v>https://www.toyboxphilosopher.com/p/blog-page.html</x:v>
      </x:c>
      <x:c r="E9" s="11" t="str">
        <x:v>2026-10-06</x:v>
      </x:c>
    </x:row>
    <x:row r="10" ht="72" customHeight="1">
      <x:c r="A10" s="11" t="str">
        <x:v>人偶社区</x:v>
      </x:c>
      <x:c r="B10" s="11" t="str">
        <x:v>DollDreaming · 软胶人偶社区</x:v>
      </x:c>
      <x:c r="C10" s="11" t="str">
        <x:v>Dollfie Dream、Smart Doll、OBITSU 等人偶的讨论、修理和换装经验入口。</x:v>
      </x:c>
      <x:c r="D10" s="11" t="str">
        <x:v>https://www.dolldreaming.com/</x:v>
      </x:c>
      <x:c r="E10" s="11" t="str">
        <x:v>2026-10-06</x:v>
      </x:c>
    </x:row>
    <x:row r="11" ht="72" customHeight="1">
      <x:c r="A11" s="11" t="str">
        <x:v>厂商结构与目录</x:v>
      </x:c>
      <x:c r="B11" s="11" t="str">
        <x:v>AZONE · 1/6 素体结构说明</x:v>
      </x:c>
      <x:c r="C11" s="11" t="str">
        <x:v>官方介绍 PureNeemo Flection、Emotion 与 Feel 的结构和差异；旧介绍的配件范围仍需以具体批次商品页核对。</x:v>
      </x:c>
      <x:c r="D11" s="11" t="str">
        <x:v>https://news.azone-int.co.jp/archives/43318</x:v>
      </x:c>
      <x:c r="E11" s="11" t="str">
        <x:v>2026-10-06</x:v>
      </x:c>
    </x:row>
    <x:row r="12" ht="72" customHeight="1">
      <x:c r="A12" s="11" t="str">
        <x:v>厂商结构与目录</x:v>
      </x:c>
      <x:c r="B12" s="11" t="str">
        <x:v>魂 Web · 产品线总览</x:v>
      </x:c>
      <x:c r="C12" s="11" t="str">
        <x:v>万代收藏玩具的官方品牌／产品线索引，查 S.H.Figuarts 等系列时进入对应型号。</x:v>
      </x:c>
      <x:c r="D12" s="11" t="str">
        <x:v>https://tamashiiweb.com/item_brand/</x:v>
      </x:c>
      <x:c r="E12" s="11" t="str">
        <x:v>2026-10-06</x:v>
      </x:c>
    </x:row>
    <x:row r="13" ht="72" customHeight="1">
      <x:c r="A13" s="11" t="str">
        <x:v>厂商结构与目录</x:v>
      </x:c>
      <x:c r="B13" s="11" t="str">
        <x:v>VOLKS · Dollfie 入门与结构</x:v>
      </x:c>
      <x:c r="C13" s="11" t="str">
        <x:v>跨型号理解 SD 拉筋树脂体与 DD 内部骨架；型号尺寸仍回到具体产品页。</x:v>
      </x:c>
      <x:c r="D13" s="11" t="str">
        <x:v>https://dollfie.volks.co.jp/beginner/</x:v>
      </x:c>
      <x:c r="E13" s="11" t="str">
        <x:v>2026-10-06</x:v>
      </x:c>
    </x:row>
    <x:row r="14" ht="72" customHeight="1">
      <x:c r="A14" s="11" t="str">
        <x:v>厂商结构与目录</x:v>
      </x:c>
      <x:c r="B14" s="11" t="str">
        <x:v>OBITSU · 身体与部件</x:v>
      </x:c>
      <x:c r="C14" s="11" t="str">
        <x:v>不同身体、手型、连接和替换部件的综合入口。</x:v>
      </x:c>
      <x:c r="D14" s="11" t="str">
        <x:v>https://obitsu.co.jp/doll-division/obitsu-body-and-parts/</x:v>
      </x:c>
      <x:c r="E14" s="11" t="str">
        <x:v>2026-10-06</x:v>
      </x:c>
    </x:row>
    <x:row r="15" ht="72" customHeight="1">
      <x:c r="A15" s="11" t="str">
        <x:v>厂商结构与目录</x:v>
      </x:c>
      <x:c r="B15" s="11" t="str">
        <x:v>Good Smile · 产品检索</x:v>
      </x:c>
      <x:c r="C15" s="11" t="str">
        <x:v>跨品牌与系列查原版、再贩、素体和衣装；列表入口不替代产品来源。</x:v>
      </x:c>
      <x:c r="D15" s="11" t="str">
        <x:v>https://www.goodsmile.com/en/search</x:v>
      </x:c>
      <x:c r="E15" s="11" t="str">
        <x:v>2026-10-06</x:v>
      </x:c>
    </x:row>
    <x:row r="16" ht="72" customHeight="1">
      <x:c r="A16" s="11" t="str">
        <x:v>评测与资讯</x:v>
      </x:c>
      <x:c r="B16" s="11" t="str">
        <x:v>BJD Collectasy · 新闻与介绍</x:v>
      </x:c>
      <x:c r="C16" s="11" t="str">
        <x:v>综合新闻、作者访谈与新娃发布；后续采用时选择对应型号文章。</x:v>
      </x:c>
      <x:c r="D16" s="11" t="str">
        <x:v>https://bjdcollectasy.com/</x:v>
      </x:c>
      <x:c r="E16" s="11" t="str">
        <x:v>2026-10-06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79d42c7a98a4c77"/>
  </x:tableParts>
</x:worksheet>
</file>

<file path=xl/worksheets/sheet5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85" hidden="0" customWidth="1"/>
  </x:cols>
  <x:sheetData>
    <x:row r="1" ht="38" customHeight="1">
      <x:c r="A1" s="3" t="str">
        <x:v>人形玩具比照 · 资料统计</x:v>
      </x:c>
      <x:c r="B1" s="3"/>
      <x:c r="C1" s="3"/>
      <x:c r="D1" s="3"/>
    </x:row>
    <x:row r="2" ht="34" customHeight="1">
      <x:c r="A2" s="6" t="str">
        <x:v>统计留在资料表。大类可重叠；本表与网页使用同一份型号记录，计划商品及数据空白分别列示。</x:v>
      </x:c>
      <x:c r="B2" s="6"/>
      <x:c r="C2" s="6"/>
      <x:c r="D2" s="6"/>
    </x:row>
    <x:row r="3">
      <x:c r="A3" s="1"/>
      <x:c r="B3" s="1"/>
      <x:c r="C3" s="1"/>
      <x:c r="D3" s="1"/>
    </x:row>
    <x:row r="4" ht="30" customHeight="1">
      <x:c r="A4" s="9" t="str">
        <x:v>统计维度</x:v>
      </x:c>
      <x:c r="B4" s="9" t="str">
        <x:v>项目</x:v>
      </x:c>
      <x:c r="C4" s="9" t="str">
        <x:v>数量</x:v>
      </x:c>
      <x:c r="D4" s="9" t="str">
        <x:v>口径</x:v>
      </x:c>
    </x:row>
    <x:row r="5" ht="38" customHeight="1">
      <x:c r="A5" s="11" t="str">
        <x:v>总览</x:v>
      </x:c>
      <x:c r="B5" s="11" t="str">
        <x:v>商品记录</x:v>
      </x:c>
      <x:c r="C5" s="22" t="n">
        <x:f>COUNTA('产品资料'!A5:A271)</x:f>
        <x:v>267</x:v>
      </x:c>
      <x:c r="D5" s="11" t="str">
        <x:v>按具体商品／配套条目计数</x:v>
      </x:c>
    </x:row>
    <x:row r="6" ht="38" customHeight="1">
      <x:c r="A6" s="11" t="str">
        <x:v>总览</x:v>
      </x:c>
      <x:c r="B6" s="11" t="str">
        <x:v>厂商</x:v>
      </x:c>
      <x:c r="C6" s="22" t="n">
        <x:v>18</x:v>
      </x:c>
      <x:c r="D6" s="11" t="str">
        <x:v>按当前厂商字段去重</x:v>
      </x:c>
    </x:row>
    <x:row r="7" ht="38" customHeight="1">
      <x:c r="A7" s="11" t="str">
        <x:v>状态</x:v>
      </x:c>
      <x:c r="B7" s="11" t="str">
        <x:v>未来计划</x:v>
      </x:c>
      <x:c r="C7" s="22" t="n">
        <x:v>125</x:v>
      </x:c>
      <x:c r="D7" s="11" t="str">
        <x:v>官方计划日期晚于核对日；不作为已出货证明</x:v>
      </x:c>
    </x:row>
    <x:row r="8" ht="38" customHeight="1">
      <x:c r="A8" s="11" t="str">
        <x:v>尺寸</x:v>
      </x:c>
      <x:c r="B8" s="11" t="str">
        <x:v>有单一主要高度</x:v>
      </x:c>
      <x:c r="C8" s="22" t="n">
        <x:f>COUNT('产品资料'!F5:F271)</x:f>
        <x:v>203</x:v>
      </x:c>
      <x:c r="D8" s="11" t="str">
        <x:v>服装和多件套不合成单一人形高度</x:v>
      </x:c>
    </x:row>
    <x:row r="9" ht="38" customHeight="1">
      <x:c r="A9" s="11" t="str">
        <x:v>尺寸</x:v>
      </x:c>
      <x:c r="B9" s="11" t="str">
        <x:v>主要高度数值空白</x:v>
      </x:c>
      <x:c r="C9" s="22" t="n">
        <x:f>C5-C8</x:f>
        <x:v>64</x:v>
      </x:c>
      <x:c r="D9" s="11" t="str">
        <x:v>包括未披露、不适用及多件套</x:v>
      </x:c>
    </x:row>
    <x:row r="10" ht="38" customHeight="1">
      <x:c r="A10" s="11" t="str">
        <x:v>来源</x:v>
      </x:c>
      <x:c r="B10" s="11" t="str">
        <x:v>来源条数</x:v>
      </x:c>
      <x:c r="C10" s="22" t="n">
        <x:v>290</x:v>
      </x:c>
      <x:c r="D10" s="11" t="str">
        <x:v>包含主来源与补充来源</x:v>
      </x:c>
    </x:row>
    <x:row r="11" ht="38" customHeight="1">
      <x:c r="A11" s="11" t="str">
        <x:v>厂商</x:v>
      </x:c>
      <x:c r="B11" s="11" t="str">
        <x:v>AZONE</x:v>
      </x:c>
      <x:c r="C11" s="22" t="n">
        <x:f>COUNTIFS('产品资料'!$B$5:$B$271,B11)</x:f>
        <x:v>11</x:v>
      </x:c>
      <x:c r="D11" s="11" t="str">
        <x:v>具体型号数量</x:v>
      </x:c>
    </x:row>
    <x:row r="12" ht="38" customHeight="1">
      <x:c r="A12" s="11" t="str">
        <x:v>厂商</x:v>
      </x:c>
      <x:c r="B12" s="11" t="str">
        <x:v>BANDAI SPIRITS</x:v>
      </x:c>
      <x:c r="C12" s="22" t="n">
        <x:f>COUNTIFS('产品资料'!$B$5:$B$271,B12)</x:f>
        <x:v>1</x:v>
      </x:c>
      <x:c r="D12" s="11" t="str">
        <x:v>具体型号数量</x:v>
      </x:c>
    </x:row>
    <x:row r="13" ht="38" customHeight="1">
      <x:c r="A13" s="11" t="str">
        <x:v>厂商</x:v>
      </x:c>
      <x:c r="B13" s="11" t="str">
        <x:v>DollZone</x:v>
      </x:c>
      <x:c r="C13" s="22" t="n">
        <x:f>COUNTIFS('产品资料'!$B$5:$B$271,B13)</x:f>
        <x:v>21</x:v>
      </x:c>
      <x:c r="D13" s="11" t="str">
        <x:v>具体型号数量</x:v>
      </x:c>
    </x:row>
    <x:row r="14" ht="38" customHeight="1">
      <x:c r="A14" s="11" t="str">
        <x:v>厂商</x:v>
      </x:c>
      <x:c r="B14" s="11" t="str">
        <x:v>FREEing</x:v>
      </x:c>
      <x:c r="C14" s="22" t="n">
        <x:f>COUNTIFS('产品资料'!$B$5:$B$271,B14)</x:f>
        <x:v>4</x:v>
      </x:c>
      <x:c r="D14" s="11" t="str">
        <x:v>具体型号数量</x:v>
      </x:c>
    </x:row>
    <x:row r="15" ht="38" customHeight="1">
      <x:c r="A15" s="11" t="str">
        <x:v>厂商</x:v>
      </x:c>
      <x:c r="B15" s="11" t="str">
        <x:v>GOODSMILE RACING</x:v>
      </x:c>
      <x:c r="C15" s="22" t="n">
        <x:f>COUNTIFS('产品资料'!$B$5:$B$271,B15)</x:f>
        <x:v>1</x:v>
      </x:c>
      <x:c r="D15" s="11" t="str">
        <x:v>具体型号数量</x:v>
      </x:c>
    </x:row>
    <x:row r="16" ht="38" customHeight="1">
      <x:c r="A16" s="11" t="str">
        <x:v>厂商</x:v>
      </x:c>
      <x:c r="B16" s="11" t="str">
        <x:v>Good Smile Company</x:v>
      </x:c>
      <x:c r="C16" s="22" t="n">
        <x:f>COUNTIFS('产品资料'!$B$5:$B$271,B16)</x:f>
        <x:v>138</x:v>
      </x:c>
      <x:c r="D16" s="11" t="str">
        <x:v>具体型号数量</x:v>
      </x:c>
    </x:row>
    <x:row r="17" ht="38" customHeight="1">
      <x:c r="A17" s="11" t="str">
        <x:v>厂商</x:v>
      </x:c>
      <x:c r="B17" s="11" t="str">
        <x:v>KOTOBUKIYA</x:v>
      </x:c>
      <x:c r="C17" s="22" t="n">
        <x:f>COUNTIFS('产品资料'!$B$5:$B$271,B17)</x:f>
        <x:v>6</x:v>
      </x:c>
      <x:c r="D17" s="11" t="str">
        <x:v>具体型号数量</x:v>
      </x:c>
    </x:row>
    <x:row r="18" ht="38" customHeight="1">
      <x:c r="A18" s="11" t="str">
        <x:v>厂商</x:v>
      </x:c>
      <x:c r="B18" s="11" t="str">
        <x:v>Mattel</x:v>
      </x:c>
      <x:c r="C18" s="22" t="n">
        <x:f>COUNTIFS('产品资料'!$B$5:$B$271,B18)</x:f>
        <x:v>1</x:v>
      </x:c>
      <x:c r="D18" s="11" t="str">
        <x:v>具体型号数量</x:v>
      </x:c>
    </x:row>
    <x:row r="19" ht="38" customHeight="1">
      <x:c r="A19" s="11" t="str">
        <x:v>厂商</x:v>
      </x:c>
      <x:c r="B19" s="11" t="str">
        <x:v>Max Factory</x:v>
      </x:c>
      <x:c r="C19" s="22" t="n">
        <x:f>COUNTIFS('产品资料'!$B$5:$B$271,B19)</x:f>
        <x:v>27</x:v>
      </x:c>
      <x:c r="D19" s="11" t="str">
        <x:v>具体型号数量</x:v>
      </x:c>
    </x:row>
    <x:row r="20" ht="38" customHeight="1">
      <x:c r="A20" s="11" t="str">
        <x:v>厂商</x:v>
      </x:c>
      <x:c r="B20" s="11" t="str">
        <x:v>Mezco Toyz</x:v>
      </x:c>
      <x:c r="C20" s="22" t="n">
        <x:f>COUNTIFS('产品资料'!$B$5:$B$271,B20)</x:f>
        <x:v>1</x:v>
      </x:c>
      <x:c r="D20" s="11" t="str">
        <x:v>具体型号数量</x:v>
      </x:c>
    </x:row>
    <x:row r="21" ht="38" customHeight="1">
      <x:c r="A21" s="11" t="str">
        <x:v>厂商</x:v>
      </x:c>
      <x:c r="B21" s="11" t="str">
        <x:v>OBITSU</x:v>
      </x:c>
      <x:c r="C21" s="22" t="n">
        <x:f>COUNTIFS('产品资料'!$B$5:$B$271,B21)</x:f>
        <x:v>9</x:v>
      </x:c>
      <x:c r="D21" s="11" t="str">
        <x:v>具体型号数量</x:v>
      </x:c>
    </x:row>
    <x:row r="22" ht="38" customHeight="1">
      <x:c r="A22" s="11" t="str">
        <x:v>厂商</x:v>
      </x:c>
      <x:c r="B22" s="11" t="str">
        <x:v>ORANGE ROUGE</x:v>
      </x:c>
      <x:c r="C22" s="22" t="n">
        <x:f>COUNTIFS('产品资料'!$B$5:$B$271,B22)</x:f>
        <x:v>6</x:v>
      </x:c>
      <x:c r="D22" s="11" t="str">
        <x:v>具体型号数量</x:v>
      </x:c>
    </x:row>
    <x:row r="23" ht="38" customHeight="1">
      <x:c r="A23" s="11" t="str">
        <x:v>厂商</x:v>
      </x:c>
      <x:c r="B23" s="11" t="str">
        <x:v>PICCODO</x:v>
      </x:c>
      <x:c r="C23" s="22" t="n">
        <x:f>COUNTIFS('产品资料'!$B$5:$B$271,B23)</x:f>
        <x:v>7</x:v>
      </x:c>
      <x:c r="D23" s="11" t="str">
        <x:v>具体型号数量</x:v>
      </x:c>
    </x:row>
    <x:row r="24" ht="38" customHeight="1">
      <x:c r="A24" s="11" t="str">
        <x:v>厂商</x:v>
      </x:c>
      <x:c r="B24" s="11" t="str">
        <x:v>PetWORKs</x:v>
      </x:c>
      <x:c r="C24" s="22" t="n">
        <x:f>COUNTIFS('产品资料'!$B$5:$B$271,B24)</x:f>
        <x:v>26</x:v>
      </x:c>
      <x:c r="D24" s="11" t="str">
        <x:v>具体型号数量</x:v>
      </x:c>
    </x:row>
    <x:row r="25" ht="38" customHeight="1">
      <x:c r="A25" s="11" t="str">
        <x:v>厂商</x:v>
      </x:c>
      <x:c r="B25" s="11" t="str">
        <x:v>Smart Doll</x:v>
      </x:c>
      <x:c r="C25" s="22" t="n">
        <x:f>COUNTIFS('产品资料'!$B$5:$B$271,B25)</x:f>
        <x:v>1</x:v>
      </x:c>
      <x:c r="D25" s="11" t="str">
        <x:v>具体型号数量</x:v>
      </x:c>
    </x:row>
    <x:row r="26" ht="38" customHeight="1">
      <x:c r="A26" s="11" t="str">
        <x:v>厂商</x:v>
      </x:c>
      <x:c r="B26" s="11" t="str">
        <x:v>TOMYTEC</x:v>
      </x:c>
      <x:c r="C26" s="22" t="n">
        <x:f>COUNTIFS('产品资料'!$B$5:$B$271,B26)</x:f>
        <x:v>2</x:v>
      </x:c>
      <x:c r="D26" s="11" t="str">
        <x:v>具体型号数量</x:v>
      </x:c>
    </x:row>
    <x:row r="27" ht="38" customHeight="1">
      <x:c r="A27" s="11" t="str">
        <x:v>厂商</x:v>
      </x:c>
      <x:c r="B27" s="11" t="str">
        <x:v>TinyFox</x:v>
      </x:c>
      <x:c r="C27" s="22" t="n">
        <x:f>COUNTIFS('产品资料'!$B$5:$B$271,B27)</x:f>
        <x:v>1</x:v>
      </x:c>
      <x:c r="D27" s="11" t="str">
        <x:v>具体型号数量</x:v>
      </x:c>
    </x:row>
    <x:row r="28" ht="38" customHeight="1">
      <x:c r="A28" s="11" t="str">
        <x:v>厂商</x:v>
      </x:c>
      <x:c r="B28" s="11" t="str">
        <x:v>VOLKS</x:v>
      </x:c>
      <x:c r="C28" s="22" t="n">
        <x:f>COUNTIFS('产品资料'!$B$5:$B$271,B28)</x:f>
        <x:v>4</x:v>
      </x:c>
      <x:c r="D28" s="11" t="str">
        <x:v>具体型号数量</x:v>
      </x:c>
    </x:row>
    <x:row r="29" ht="38" customHeight="1">
      <x:c r="A29" s="11" t="str">
        <x:v>大类</x:v>
      </x:c>
      <x:c r="B29" s="11" t="str">
        <x:v>可动人形</x:v>
      </x:c>
      <x:c r="C29" s="22" t="n">
        <x:v>193</x:v>
      </x:c>
      <x:c r="D29" s="11" t="str">
        <x:v>入口可重叠，不把各类相加当总数</x:v>
      </x:c>
    </x:row>
    <x:row r="30" ht="38" customHeight="1">
      <x:c r="A30" s="11" t="str">
        <x:v>大类</x:v>
      </x:c>
      <x:c r="B30" s="11" t="str">
        <x:v>静态人形</x:v>
      </x:c>
      <x:c r="C30" s="22" t="n">
        <x:v>33</x:v>
      </x:c>
      <x:c r="D30" s="11" t="str">
        <x:v>入口可重叠，不把各类相加当总数</x:v>
      </x:c>
    </x:row>
    <x:row r="31" ht="38" customHeight="1">
      <x:c r="A31" s="11" t="str">
        <x:v>大类</x:v>
      </x:c>
      <x:c r="B31" s="11" t="str">
        <x:v>素体</x:v>
      </x:c>
      <x:c r="C31" s="22" t="n">
        <x:v>41</x:v>
      </x:c>
      <x:c r="D31" s="11" t="str">
        <x:v>入口可重叠，不把各类相加当总数</x:v>
      </x:c>
    </x:row>
    <x:row r="32" ht="38" customHeight="1">
      <x:c r="A32" s="11" t="str">
        <x:v>大类</x:v>
      </x:c>
      <x:c r="B32" s="11" t="str">
        <x:v>拼装模型</x:v>
      </x:c>
      <x:c r="C32" s="22" t="n">
        <x:v>40</x:v>
      </x:c>
      <x:c r="D32" s="11" t="str">
        <x:v>入口可重叠，不把各类相加当总数</x:v>
      </x:c>
    </x:row>
    <x:row r="33" ht="38" customHeight="1">
      <x:c r="A33" s="11" t="str">
        <x:v>大类</x:v>
      </x:c>
      <x:c r="B33" s="11" t="str">
        <x:v>服装配套</x:v>
      </x:c>
      <x:c r="C33" s="22" t="n">
        <x:v>26</x:v>
      </x:c>
      <x:c r="D33" s="11" t="str">
        <x:v>入口可重叠，不把各类相加当总数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6f7e4d53ca74733"/>
  </x:tableParts>
</x:worksheet>
</file>